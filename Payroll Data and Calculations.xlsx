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V\Grad CV\Projects\New folder\"/>
    </mc:Choice>
  </mc:AlternateContent>
  <xr:revisionPtr revIDLastSave="0" documentId="8_{E054B7D1-DC0E-4D4D-B202-D4E7FE555B6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  <sheet name="Payroll_Run" sheetId="2" r:id="rId2"/>
    <sheet name="Outputs" sheetId="3" r:id="rId3"/>
    <sheet name="Employee_Master_Data" sheetId="4" r:id="rId4"/>
    <sheet name="Starter_P45_Data" sheetId="5" r:id="rId5"/>
    <sheet name="Monthly_Changes_Data" sheetId="6" r:id="rId6"/>
    <sheet name="Payroll_Assumptions_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2" i="3" l="1"/>
  <c r="A11" i="3"/>
  <c r="A10" i="3"/>
  <c r="A9" i="3"/>
  <c r="A8" i="3"/>
  <c r="A7" i="3"/>
  <c r="A6" i="3"/>
  <c r="A5" i="3"/>
  <c r="A4" i="3"/>
  <c r="A3" i="3"/>
  <c r="A2" i="3"/>
  <c r="AD13" i="2"/>
  <c r="B28" i="3" s="1"/>
  <c r="X13" i="2"/>
  <c r="Z13" i="2" s="1"/>
  <c r="V13" i="2"/>
  <c r="X12" i="2"/>
  <c r="Z12" i="2" s="1"/>
  <c r="V12" i="2"/>
  <c r="AD11" i="2"/>
  <c r="F10" i="3" s="1"/>
  <c r="X11" i="2"/>
  <c r="Z11" i="2" s="1"/>
  <c r="V11" i="2"/>
  <c r="AD10" i="2"/>
  <c r="F9" i="3" s="1"/>
  <c r="X10" i="2"/>
  <c r="Z10" i="2" s="1"/>
  <c r="V10" i="2"/>
  <c r="AD9" i="2"/>
  <c r="F8" i="3" s="1"/>
  <c r="X9" i="2"/>
  <c r="Z9" i="2" s="1"/>
  <c r="V9" i="2"/>
  <c r="AD8" i="2"/>
  <c r="F7" i="3" s="1"/>
  <c r="X8" i="2"/>
  <c r="Z8" i="2" s="1"/>
  <c r="V8" i="2"/>
  <c r="AD7" i="2"/>
  <c r="F6" i="3" s="1"/>
  <c r="X7" i="2"/>
  <c r="Z7" i="2" s="1"/>
  <c r="V7" i="2"/>
  <c r="AD6" i="2"/>
  <c r="X6" i="2"/>
  <c r="Z6" i="2" s="1"/>
  <c r="V6" i="2"/>
  <c r="AD5" i="2"/>
  <c r="F4" i="3" s="1"/>
  <c r="X5" i="2"/>
  <c r="Z5" i="2" s="1"/>
  <c r="V5" i="2"/>
  <c r="AD4" i="2"/>
  <c r="F3" i="3" s="1"/>
  <c r="X4" i="2"/>
  <c r="Z4" i="2" s="1"/>
  <c r="V4" i="2"/>
  <c r="AD3" i="2"/>
  <c r="F2" i="3" s="1"/>
  <c r="X3" i="2"/>
  <c r="Z3" i="2" s="1"/>
  <c r="V3" i="2"/>
  <c r="C21" i="1"/>
  <c r="A21" i="1"/>
  <c r="C20" i="1"/>
  <c r="A20" i="1"/>
  <c r="C19" i="1"/>
  <c r="A19" i="1"/>
  <c r="C18" i="1"/>
  <c r="A18" i="1"/>
  <c r="C17" i="1"/>
  <c r="A17" i="1"/>
  <c r="C16" i="1"/>
  <c r="A16" i="1"/>
  <c r="C15" i="1"/>
  <c r="A15" i="1"/>
  <c r="C14" i="1"/>
  <c r="A14" i="1"/>
  <c r="C13" i="1"/>
  <c r="A13" i="1"/>
  <c r="C12" i="1"/>
  <c r="A12" i="1"/>
  <c r="C11" i="1"/>
  <c r="A11" i="1"/>
  <c r="E2" i="1" l="1"/>
  <c r="B2" i="3"/>
  <c r="AC3" i="2"/>
  <c r="B11" i="1"/>
  <c r="AB3" i="2"/>
  <c r="AA3" i="2"/>
  <c r="B17" i="1"/>
  <c r="AC9" i="2"/>
  <c r="E8" i="3" s="1"/>
  <c r="AB9" i="2"/>
  <c r="D8" i="3" s="1"/>
  <c r="B8" i="3"/>
  <c r="AA9" i="2"/>
  <c r="C8" i="3" s="1"/>
  <c r="AC10" i="2"/>
  <c r="E9" i="3" s="1"/>
  <c r="AB10" i="2"/>
  <c r="D9" i="3" s="1"/>
  <c r="AA10" i="2"/>
  <c r="C9" i="3" s="1"/>
  <c r="B9" i="3"/>
  <c r="B18" i="1"/>
  <c r="AC8" i="2"/>
  <c r="E7" i="3" s="1"/>
  <c r="B7" i="3"/>
  <c r="AB8" i="2"/>
  <c r="D7" i="3" s="1"/>
  <c r="AA8" i="2"/>
  <c r="C7" i="3" s="1"/>
  <c r="B16" i="1"/>
  <c r="AD12" i="2"/>
  <c r="AC12" i="2"/>
  <c r="AB12" i="2"/>
  <c r="AA12" i="2"/>
  <c r="B20" i="1"/>
  <c r="B11" i="3"/>
  <c r="B16" i="3"/>
  <c r="B3" i="3"/>
  <c r="AC4" i="2"/>
  <c r="E3" i="3" s="1"/>
  <c r="AB4" i="2"/>
  <c r="D3" i="3" s="1"/>
  <c r="AA4" i="2"/>
  <c r="C3" i="3" s="1"/>
  <c r="B12" i="1"/>
  <c r="B12" i="3"/>
  <c r="B21" i="1"/>
  <c r="B24" i="3"/>
  <c r="AC13" i="2"/>
  <c r="AB13" i="2"/>
  <c r="AA13" i="2"/>
  <c r="AE13" i="2" s="1"/>
  <c r="B13" i="1"/>
  <c r="B4" i="3"/>
  <c r="AC5" i="2"/>
  <c r="E4" i="3" s="1"/>
  <c r="AB5" i="2"/>
  <c r="D4" i="3" s="1"/>
  <c r="AA5" i="2"/>
  <c r="C4" i="3" s="1"/>
  <c r="B5" i="3"/>
  <c r="AC6" i="2"/>
  <c r="E5" i="3" s="1"/>
  <c r="AB6" i="2"/>
  <c r="D5" i="3" s="1"/>
  <c r="AA6" i="2"/>
  <c r="C5" i="3" s="1"/>
  <c r="B14" i="1"/>
  <c r="AC11" i="2"/>
  <c r="E10" i="3" s="1"/>
  <c r="B19" i="1"/>
  <c r="AB11" i="2"/>
  <c r="D10" i="3" s="1"/>
  <c r="AA11" i="2"/>
  <c r="C10" i="3" s="1"/>
  <c r="B10" i="3"/>
  <c r="AA7" i="2"/>
  <c r="C6" i="3" s="1"/>
  <c r="F12" i="3"/>
  <c r="AB7" i="2"/>
  <c r="D6" i="3" s="1"/>
  <c r="B15" i="1"/>
  <c r="AC7" i="2"/>
  <c r="E6" i="3" s="1"/>
  <c r="B6" i="3"/>
  <c r="F5" i="3"/>
  <c r="B29" i="3" l="1"/>
  <c r="D21" i="1"/>
  <c r="G12" i="3"/>
  <c r="C11" i="3"/>
  <c r="B17" i="3"/>
  <c r="E11" i="3"/>
  <c r="B19" i="3"/>
  <c r="AE12" i="2"/>
  <c r="AE9" i="2"/>
  <c r="B27" i="3"/>
  <c r="E12" i="3"/>
  <c r="C2" i="3"/>
  <c r="E3" i="1"/>
  <c r="E4" i="1"/>
  <c r="D2" i="3"/>
  <c r="C12" i="3"/>
  <c r="B25" i="3"/>
  <c r="B26" i="3"/>
  <c r="D12" i="3"/>
  <c r="D11" i="3"/>
  <c r="B18" i="3"/>
  <c r="F11" i="3"/>
  <c r="B20" i="3"/>
  <c r="AE8" i="2"/>
  <c r="AE11" i="2"/>
  <c r="AE4" i="2"/>
  <c r="AE3" i="2"/>
  <c r="AE6" i="2"/>
  <c r="E5" i="1"/>
  <c r="E2" i="3"/>
  <c r="AE10" i="2"/>
  <c r="E6" i="1"/>
  <c r="AE7" i="2"/>
  <c r="AE5" i="2"/>
  <c r="G9" i="3" l="1"/>
  <c r="D18" i="1"/>
  <c r="D12" i="1"/>
  <c r="G3" i="3"/>
  <c r="D16" i="1"/>
  <c r="G7" i="3"/>
  <c r="G5" i="3"/>
  <c r="D14" i="1"/>
  <c r="D17" i="1"/>
  <c r="G8" i="3"/>
  <c r="D19" i="1"/>
  <c r="G10" i="3"/>
  <c r="D13" i="1"/>
  <c r="G4" i="3"/>
  <c r="E7" i="1"/>
  <c r="G2" i="3"/>
  <c r="D11" i="1"/>
  <c r="E8" i="1"/>
  <c r="G11" i="3"/>
  <c r="D20" i="1"/>
  <c r="B21" i="3"/>
  <c r="G6" i="3"/>
  <c r="D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Y3" authorId="0" shapeId="0" xr:uid="{00000000-0006-0000-0100-000001000000}">
      <text>
        <r>
          <rPr>
            <sz val="11"/>
            <color theme="1"/>
            <rFont val="Calibri"/>
          </rPr>
          <t>Set to £0.00: David Watkins confirmed no normal bonuses this month.</t>
        </r>
      </text>
    </comment>
    <comment ref="R12" authorId="0" shapeId="0" xr:uid="{00000000-0006-0000-0100-000002000000}">
      <text>
        <r>
          <rPr>
            <sz val="11"/>
            <color theme="1"/>
            <rFont val="Calibri"/>
          </rPr>
          <t>Source: Terry Tucker P45 shows student loan deductions due (Y).</t>
        </r>
      </text>
    </comment>
    <comment ref="Y13" authorId="0" shapeId="0" xr:uid="{00000000-0006-0000-0100-000003000000}">
      <text>
        <r>
          <rPr>
            <sz val="11"/>
            <color theme="1"/>
            <rFont val="Calibri"/>
          </rPr>
          <t>£1,000 signing bonus per David Watkins email.</t>
        </r>
      </text>
    </comment>
  </commentList>
</comments>
</file>

<file path=xl/sharedStrings.xml><?xml version="1.0" encoding="utf-8"?>
<sst xmlns="http://schemas.openxmlformats.org/spreadsheetml/2006/main" count="684" uniqueCount="270">
  <si>
    <t>Demo Company Payroll – This Month Solution</t>
  </si>
  <si>
    <t>Days in payroll month</t>
  </si>
  <si>
    <t>Total gross pay</t>
  </si>
  <si>
    <t>Corrected arithmetic: 50% deductions = 50% net pay; 55% deductions = 45% net pay.</t>
  </si>
  <si>
    <t>Income tax rate</t>
  </si>
  <si>
    <t>Income tax</t>
  </si>
  <si>
    <t>Signing bonus included only for Tom Tinker (£1,000). David confirmed no other bonuses this month.</t>
  </si>
  <si>
    <t>National Insurance rate</t>
  </si>
  <si>
    <t>National Insurance</t>
  </si>
  <si>
    <t>Student loan evidence is only explicit on the P45s: Terry = Yes, Tom = No. Existing employees assumed No because no student-loan source data was provided.</t>
  </si>
  <si>
    <t>Pension rate</t>
  </si>
  <si>
    <t>Pension</t>
  </si>
  <si>
    <t>Tom Tinker is pro-rated using a 30-day month and 23 days worked (started on the 8th).</t>
  </si>
  <si>
    <t>Student loan rate</t>
  </si>
  <si>
    <t>Student loan</t>
  </si>
  <si>
    <t>Terry's address in payroll uses Gemma's updated address rather than the old P45 address.</t>
  </si>
  <si>
    <t>Total deductions</t>
  </si>
  <si>
    <t>P45 previous pay/tax are logged for completeness but not used in the simplified deduction rules.</t>
  </si>
  <si>
    <t>Total net pay</t>
  </si>
  <si>
    <t>Employee Net Pay Summary</t>
  </si>
  <si>
    <t>Employee</t>
  </si>
  <si>
    <t>Gross This Month</t>
  </si>
  <si>
    <t>Student Loan?</t>
  </si>
  <si>
    <t>Net Pay</t>
  </si>
  <si>
    <t>Payroll Working File – Updated for This Month</t>
  </si>
  <si>
    <t>First Name</t>
  </si>
  <si>
    <t>Surname</t>
  </si>
  <si>
    <t>Start Date</t>
  </si>
  <si>
    <t>NI Number</t>
  </si>
  <si>
    <t>Title</t>
  </si>
  <si>
    <t>Gender</t>
  </si>
  <si>
    <t>Date of Birth</t>
  </si>
  <si>
    <t>Address 1</t>
  </si>
  <si>
    <t>Address 2</t>
  </si>
  <si>
    <t>Address 3</t>
  </si>
  <si>
    <t>Postcode</t>
  </si>
  <si>
    <t>Email</t>
  </si>
  <si>
    <t>Phone</t>
  </si>
  <si>
    <t>Tax Code</t>
  </si>
  <si>
    <t>W1/M1 Basis</t>
  </si>
  <si>
    <t>NI Table</t>
  </si>
  <si>
    <t>Director?</t>
  </si>
  <si>
    <t>Postgrad Loan</t>
  </si>
  <si>
    <t>Payment Freq</t>
  </si>
  <si>
    <t>Annual Pay Rate</t>
  </si>
  <si>
    <t>Base Monthly Gross</t>
  </si>
  <si>
    <t>Worked Days This Month</t>
  </si>
  <si>
    <t>Proration Factor</t>
  </si>
  <si>
    <t>Bonus This Month</t>
  </si>
  <si>
    <t>Income Tax</t>
  </si>
  <si>
    <t>NI</t>
  </si>
  <si>
    <t>Student Loan</t>
  </si>
  <si>
    <t>P45 Prior Pay</t>
  </si>
  <si>
    <t>P45 Prior Tax</t>
  </si>
  <si>
    <t>Source / Notes</t>
  </si>
  <si>
    <t>David</t>
  </si>
  <si>
    <t>Watkins</t>
  </si>
  <si>
    <t>19/10/2023</t>
  </si>
  <si>
    <t>AB6981536C</t>
  </si>
  <si>
    <t>Mr</t>
  </si>
  <si>
    <t>Male</t>
  </si>
  <si>
    <t>1989-06-15</t>
  </si>
  <si>
    <t>11D</t>
  </si>
  <si>
    <t>33 North Road</t>
  </si>
  <si>
    <t>Glasgow</t>
  </si>
  <si>
    <t>LS1 1AA</t>
  </si>
  <si>
    <t>takehometasks+davidwatkins@novabook.com</t>
  </si>
  <si>
    <t>447782950110</t>
  </si>
  <si>
    <t>K877</t>
  </si>
  <si>
    <t>Yes</t>
  </si>
  <si>
    <t>A</t>
  </si>
  <si>
    <t>No</t>
  </si>
  <si>
    <t>Monthly</t>
  </si>
  <si>
    <t>Existing employee. £1,000 bonus from last-month file removed per David email.</t>
  </si>
  <si>
    <t>Gemma</t>
  </si>
  <si>
    <t>Tompson</t>
  </si>
  <si>
    <t>25/08/2023</t>
  </si>
  <si>
    <t>OP7103256C</t>
  </si>
  <si>
    <t>Miss</t>
  </si>
  <si>
    <t>Female</t>
  </si>
  <si>
    <t>2002-01-07</t>
  </si>
  <si>
    <t>Flat 7</t>
  </si>
  <si>
    <t>Edinburgh</t>
  </si>
  <si>
    <t>S1 1AA</t>
  </si>
  <si>
    <t>gemma.tompson@demo-company.io</t>
  </si>
  <si>
    <t>447243281470</t>
  </si>
  <si>
    <t>1257L</t>
  </si>
  <si>
    <t>Existing employee.</t>
  </si>
  <si>
    <t>Olivia</t>
  </si>
  <si>
    <t>Newton</t>
  </si>
  <si>
    <t>07/09/2022</t>
  </si>
  <si>
    <t>CD9874380C</t>
  </si>
  <si>
    <t>2002-11-21</t>
  </si>
  <si>
    <t>12A</t>
  </si>
  <si>
    <t>6 Maple Drive</t>
  </si>
  <si>
    <t>Cardiff</t>
  </si>
  <si>
    <t>B1 1AA</t>
  </si>
  <si>
    <t>olivia.newton@demo-company.io</t>
  </si>
  <si>
    <t>447611567429</t>
  </si>
  <si>
    <t>James</t>
  </si>
  <si>
    <t>Telford</t>
  </si>
  <si>
    <t>20/06/2023</t>
  </si>
  <si>
    <t>MN9935842C</t>
  </si>
  <si>
    <t>1997-09-01</t>
  </si>
  <si>
    <t>Apartment 205</t>
  </si>
  <si>
    <t>Bristol</t>
  </si>
  <si>
    <t>M1 1AE</t>
  </si>
  <si>
    <t>james.telford@demo-company.io</t>
  </si>
  <si>
    <t>447426615520</t>
  </si>
  <si>
    <t>Judy</t>
  </si>
  <si>
    <t>Murray</t>
  </si>
  <si>
    <t>08/08/2023</t>
  </si>
  <si>
    <t>OP4261042C</t>
  </si>
  <si>
    <t>1991-08-05</t>
  </si>
  <si>
    <t>1.2 Regent House</t>
  </si>
  <si>
    <t>8 East Lane</t>
  </si>
  <si>
    <t>L1 1AE</t>
  </si>
  <si>
    <t>judy.murray@demo-company.io</t>
  </si>
  <si>
    <t>447557497082</t>
  </si>
  <si>
    <t>897T</t>
  </si>
  <si>
    <t>Collins</t>
  </si>
  <si>
    <t>24/11/2022</t>
  </si>
  <si>
    <t>IJ9828043C</t>
  </si>
  <si>
    <t>1996-05-05</t>
  </si>
  <si>
    <t>Suite 4</t>
  </si>
  <si>
    <t>10 High Street</t>
  </si>
  <si>
    <t>takehometasks+gemmacollins@novabook.com</t>
  </si>
  <si>
    <t>447292234345</t>
  </si>
  <si>
    <t>Office manager email received with new-joiner details and P45 attachments.</t>
  </si>
  <si>
    <t>Tom</t>
  </si>
  <si>
    <t>Cruze</t>
  </si>
  <si>
    <t>25/01/2024</t>
  </si>
  <si>
    <t>KL0740250C</t>
  </si>
  <si>
    <t>1997-08-23</t>
  </si>
  <si>
    <t>14 Elm Street</t>
  </si>
  <si>
    <t>Manchester</t>
  </si>
  <si>
    <t>tom.cruze@demo-company.io</t>
  </si>
  <si>
    <t>447136816120</t>
  </si>
  <si>
    <t>K422</t>
  </si>
  <si>
    <t>Existing employee. £2,000 bonus from last-month file removed per David email.</t>
  </si>
  <si>
    <t>Colin</t>
  </si>
  <si>
    <t>Naylor</t>
  </si>
  <si>
    <t>02/01/2024</t>
  </si>
  <si>
    <t>MN1081847C</t>
  </si>
  <si>
    <t>1993-08-19</t>
  </si>
  <si>
    <t>Penthouse 8</t>
  </si>
  <si>
    <t>9 West Avenue</t>
  </si>
  <si>
    <t>colin.naylor@demo-company.io</t>
  </si>
  <si>
    <t>447452987908</t>
  </si>
  <si>
    <t>Jenny</t>
  </si>
  <si>
    <t>Holland</t>
  </si>
  <si>
    <t>27/03/2023</t>
  </si>
  <si>
    <t>AB0014612C</t>
  </si>
  <si>
    <t>1989-12-19</t>
  </si>
  <si>
    <t>3rd Floor</t>
  </si>
  <si>
    <t>5 Broadway</t>
  </si>
  <si>
    <t>SW1A 1AA</t>
  </si>
  <si>
    <t>jenny.holland@demo-company.io</t>
  </si>
  <si>
    <t>447257112727</t>
  </si>
  <si>
    <t>Terry</t>
  </si>
  <si>
    <t>Tucker</t>
  </si>
  <si>
    <t>1st of month</t>
  </si>
  <si>
    <t>HG7898764</t>
  </si>
  <si>
    <t>1993-05-19</t>
  </si>
  <si>
    <t>123 Buckingham Palace Road</t>
  </si>
  <si>
    <t>London</t>
  </si>
  <si>
    <t>SW1 9JU</t>
  </si>
  <si>
    <t>takehometasks+terrytucker@novabook.com</t>
  </si>
  <si>
    <t>07674822929</t>
  </si>
  <si>
    <t>New joiner. P45 shows student-loan deductions due and prior pay/tax of £2,000/£400. Address updated from Gemma email.</t>
  </si>
  <si>
    <t>Tinker</t>
  </si>
  <si>
    <t>8th of month</t>
  </si>
  <si>
    <t>JP3238864</t>
  </si>
  <si>
    <t>1997-04-03</t>
  </si>
  <si>
    <t>31 Station Road</t>
  </si>
  <si>
    <t>Bow Brickhill</t>
  </si>
  <si>
    <t>Milton Keynes</t>
  </si>
  <si>
    <t>MK17 9JU</t>
  </si>
  <si>
    <t>takehometasks+tomtinker@novabook.com</t>
  </si>
  <si>
    <t>07858394406</t>
  </si>
  <si>
    <t>New joiner. P45 shows no student loan. £1,000 signing bonus included per David email.</t>
  </si>
  <si>
    <t>Gross</t>
  </si>
  <si>
    <t>Tax</t>
  </si>
  <si>
    <t>Net</t>
  </si>
  <si>
    <t>Gross pay</t>
  </si>
  <si>
    <t>Net pay</t>
  </si>
  <si>
    <t>Payslip – Tom Tinker</t>
  </si>
  <si>
    <t>Employee ID</t>
  </si>
  <si>
    <t>EMP001</t>
  </si>
  <si>
    <t>2023-10-19</t>
  </si>
  <si>
    <t>EMP002</t>
  </si>
  <si>
    <t>2023-08-25</t>
  </si>
  <si>
    <t>EMP003</t>
  </si>
  <si>
    <t>2022-09-07</t>
  </si>
  <si>
    <t>Mx</t>
  </si>
  <si>
    <t>EMP004</t>
  </si>
  <si>
    <t>2023-06-20</t>
  </si>
  <si>
    <t>EMP005</t>
  </si>
  <si>
    <t>2023-08-08</t>
  </si>
  <si>
    <t>Ms</t>
  </si>
  <si>
    <t>EMP006</t>
  </si>
  <si>
    <t>2022-11-24</t>
  </si>
  <si>
    <t>EMP007</t>
  </si>
  <si>
    <t>2024-01-25</t>
  </si>
  <si>
    <t>EMP008</t>
  </si>
  <si>
    <t>2024-01-02</t>
  </si>
  <si>
    <t>EMP009</t>
  </si>
  <si>
    <t>2023-03-27</t>
  </si>
  <si>
    <t>EMP010</t>
  </si>
  <si>
    <t>2024-04-01</t>
  </si>
  <si>
    <t>EMP011</t>
  </si>
  <si>
    <t>2024-04-08</t>
  </si>
  <si>
    <t>Employee Name</t>
  </si>
  <si>
    <t>Starter Type</t>
  </si>
  <si>
    <t>P45 Received?</t>
  </si>
  <si>
    <t>Previous Employer</t>
  </si>
  <si>
    <t>Prev Taxable Pay YTD</t>
  </si>
  <si>
    <t>Prev Tax YTD</t>
  </si>
  <si>
    <t>Tax Code from P45</t>
  </si>
  <si>
    <t>Student Loan from P45</t>
  </si>
  <si>
    <t>Postgrad Loan from P45</t>
  </si>
  <si>
    <t>Pension Start From</t>
  </si>
  <si>
    <t>Notes</t>
  </si>
  <si>
    <t>Terry Tucker</t>
  </si>
  <si>
    <t>New joiner</t>
  </si>
  <si>
    <t>Northbridge Services Ltd</t>
  </si>
  <si>
    <t>Start date</t>
  </si>
  <si>
    <t>Address updated to current London address before payroll processing</t>
  </si>
  <si>
    <t>Tom Tinker</t>
  </si>
  <si>
    <t>Marlowe Retail Group</t>
  </si>
  <si>
    <t>P45 used to confirm tax code; signing bonus approved separately</t>
  </si>
  <si>
    <t>Payroll Month</t>
  </si>
  <si>
    <t>Change Type</t>
  </si>
  <si>
    <t>Worked Days</t>
  </si>
  <si>
    <t>Payroll Days</t>
  </si>
  <si>
    <t>Adjustment / Bonus</t>
  </si>
  <si>
    <t>Approval / Source Note</t>
  </si>
  <si>
    <t>2024-04</t>
  </si>
  <si>
    <t>David Watkins</t>
  </si>
  <si>
    <t>No change</t>
  </si>
  <si>
    <t>Included in normal monthly payroll run</t>
  </si>
  <si>
    <t>Gemma Tompson</t>
  </si>
  <si>
    <t>Olivia Newton</t>
  </si>
  <si>
    <t>James Telford</t>
  </si>
  <si>
    <t>Judy Murray</t>
  </si>
  <si>
    <t>Gemma Collins</t>
  </si>
  <si>
    <t>Tom Cruze</t>
  </si>
  <si>
    <t>Colin Naylor</t>
  </si>
  <si>
    <t>Jenny Holland</t>
  </si>
  <si>
    <t>New starter - full month</t>
  </si>
  <si>
    <t>Joined on 1st of month; full monthly pay</t>
  </si>
  <si>
    <t>New starter - prorated + signing bonus</t>
  </si>
  <si>
    <t>Started on 8th; 30-day proration plus approved signing bonus</t>
  </si>
  <si>
    <t>Assumption / Rate</t>
  </si>
  <si>
    <t>Value</t>
  </si>
  <si>
    <t>Explanation</t>
  </si>
  <si>
    <t>Payroll month</t>
  </si>
  <si>
    <t>Fake month used to support the workbook example</t>
  </si>
  <si>
    <t>Used for proration of mid-month starters</t>
  </si>
  <si>
    <t>Simplified task rate applied to gross pay</t>
  </si>
  <si>
    <t>Simplified employee pension deduction rate</t>
  </si>
  <si>
    <t>Applied only where student loan indicator is Yes</t>
  </si>
  <si>
    <t>Bonus handling</t>
  </si>
  <si>
    <t>All prior bonuses removed</t>
  </si>
  <si>
    <t>Only Tom Tinker's signing bonus is included this month</t>
  </si>
  <si>
    <t>Pension timing</t>
  </si>
  <si>
    <t>From start date</t>
  </si>
  <si>
    <t>New joiners assumed enrolled immediately</t>
  </si>
  <si>
    <t>Payroll frequency</t>
  </si>
  <si>
    <t>All staff processed on monthly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</si>
</sst>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£#,##0.00"/>
  </numFmts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1e5f9db6d38e4bac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257175</xdr:colOff>
      <xdr:row>50</xdr:row>
      <xdr:rowOff>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A3751946-17C3-2560-1DAB-BDEADD8D384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432A9736-1B37-247D-D494-D31318D8846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14" sqref="E14"/>
    </sheetView>
  </sheetViews>
  <sheetFormatPr defaultRowHeight="15" x14ac:dyDescent="0.25"/>
  <cols>
    <col min="1" max="1" width="30" customWidth="1"/>
    <col min="2" max="3" width="18" customWidth="1"/>
    <col min="4" max="4" width="20" customWidth="1"/>
    <col min="5" max="5" width="30" customWidth="1"/>
    <col min="7" max="7" width="144" customWidth="1"/>
    <col min="8" max="8" width="18" customWidth="1"/>
  </cols>
  <sheetData>
    <row r="1" spans="1:7" x14ac:dyDescent="0.25">
      <c r="A1" s="3" t="s">
        <v>0</v>
      </c>
      <c r="B1" s="3"/>
      <c r="C1" s="3"/>
      <c r="D1" s="3"/>
      <c r="E1" s="3"/>
      <c r="F1" s="3"/>
      <c r="G1" s="3"/>
    </row>
    <row r="2" spans="1:7" ht="42" customHeight="1" x14ac:dyDescent="0.25">
      <c r="A2" s="3" t="s">
        <v>1</v>
      </c>
      <c r="B2" s="4">
        <v>30</v>
      </c>
      <c r="C2" s="1"/>
      <c r="D2" s="3" t="s">
        <v>2</v>
      </c>
      <c r="E2" s="5">
        <f>ROUND(SUM(Payroll_Run!Z3:Z13),2)</f>
        <v>63377.77</v>
      </c>
      <c r="F2" s="1"/>
      <c r="G2" s="1" t="s">
        <v>3</v>
      </c>
    </row>
    <row r="3" spans="1:7" ht="42" customHeight="1" x14ac:dyDescent="0.25">
      <c r="A3" s="3" t="s">
        <v>4</v>
      </c>
      <c r="B3" s="4">
        <v>0.35</v>
      </c>
      <c r="C3" s="1"/>
      <c r="D3" s="3" t="s">
        <v>5</v>
      </c>
      <c r="E3" s="5">
        <f>ROUND(SUM(Payroll_Run!AA3:AA13),2)</f>
        <v>22182.22</v>
      </c>
      <c r="F3" s="1"/>
      <c r="G3" s="1" t="s">
        <v>6</v>
      </c>
    </row>
    <row r="4" spans="1:7" ht="42" customHeight="1" x14ac:dyDescent="0.25">
      <c r="A4" s="3" t="s">
        <v>7</v>
      </c>
      <c r="B4" s="4">
        <v>0.1</v>
      </c>
      <c r="C4" s="1"/>
      <c r="D4" s="3" t="s">
        <v>8</v>
      </c>
      <c r="E4" s="5">
        <f>ROUND(SUM(Payroll_Run!AB3:AB13),2)</f>
        <v>6337.77</v>
      </c>
      <c r="F4" s="1"/>
      <c r="G4" s="1" t="s">
        <v>9</v>
      </c>
    </row>
    <row r="5" spans="1:7" ht="42" customHeight="1" x14ac:dyDescent="0.25">
      <c r="A5" s="3" t="s">
        <v>10</v>
      </c>
      <c r="B5" s="4">
        <v>0.05</v>
      </c>
      <c r="C5" s="1"/>
      <c r="D5" s="3" t="s">
        <v>11</v>
      </c>
      <c r="E5" s="5">
        <f>ROUND(SUM(Payroll_Run!AC3:AC13),2)</f>
        <v>3168.89</v>
      </c>
      <c r="F5" s="1"/>
      <c r="G5" s="1" t="s">
        <v>12</v>
      </c>
    </row>
    <row r="6" spans="1:7" ht="42" customHeight="1" x14ac:dyDescent="0.25">
      <c r="A6" s="3" t="s">
        <v>13</v>
      </c>
      <c r="B6" s="4">
        <v>0.05</v>
      </c>
      <c r="C6" s="1"/>
      <c r="D6" s="3" t="s">
        <v>14</v>
      </c>
      <c r="E6" s="5">
        <f>ROUND(SUM(Payroll_Run!AD3:AD13),2)</f>
        <v>208.33</v>
      </c>
      <c r="F6" s="1"/>
      <c r="G6" s="1" t="s">
        <v>15</v>
      </c>
    </row>
    <row r="7" spans="1:7" ht="42" customHeight="1" x14ac:dyDescent="0.25">
      <c r="A7" s="1"/>
      <c r="B7" s="1"/>
      <c r="C7" s="1"/>
      <c r="D7" s="3" t="s">
        <v>16</v>
      </c>
      <c r="E7" s="5">
        <f>ROUND(SUM(E3:E6),2)</f>
        <v>31897.21</v>
      </c>
      <c r="F7" s="1"/>
      <c r="G7" s="1" t="s">
        <v>17</v>
      </c>
    </row>
    <row r="8" spans="1:7" x14ac:dyDescent="0.25">
      <c r="A8" s="1"/>
      <c r="B8" s="1"/>
      <c r="C8" s="1"/>
      <c r="D8" s="3" t="s">
        <v>18</v>
      </c>
      <c r="E8" s="5">
        <f>ROUND(SUM(Payroll_Run!AE3:AE13),2)</f>
        <v>31480.560000000001</v>
      </c>
      <c r="F8" s="1"/>
      <c r="G8" s="1"/>
    </row>
    <row r="9" spans="1:7" x14ac:dyDescent="0.25">
      <c r="A9" t="s">
        <v>19</v>
      </c>
    </row>
    <row r="10" spans="1:7" x14ac:dyDescent="0.25">
      <c r="A10" s="3" t="s">
        <v>20</v>
      </c>
      <c r="B10" s="3" t="s">
        <v>21</v>
      </c>
      <c r="C10" s="3" t="s">
        <v>22</v>
      </c>
      <c r="D10" s="3" t="s">
        <v>23</v>
      </c>
    </row>
    <row r="11" spans="1:7" x14ac:dyDescent="0.25">
      <c r="A11" s="1" t="str">
        <f>Payroll_Run!A3&amp;" "&amp;Payroll_Run!B3</f>
        <v>David Watkins</v>
      </c>
      <c r="B11" s="5">
        <f>Payroll_Run!Z3</f>
        <v>7083.33</v>
      </c>
      <c r="C11" s="1" t="str">
        <f>Payroll_Run!R3</f>
        <v>No</v>
      </c>
      <c r="D11" s="5">
        <f>Payroll_Run!AE3</f>
        <v>3541.66</v>
      </c>
    </row>
    <row r="12" spans="1:7" x14ac:dyDescent="0.25">
      <c r="A12" s="1" t="str">
        <f>Payroll_Run!A4&amp;" "&amp;Payroll_Run!B4</f>
        <v>Gemma Tompson</v>
      </c>
      <c r="B12" s="5">
        <f>Payroll_Run!Z4</f>
        <v>4583.33</v>
      </c>
      <c r="C12" s="1" t="str">
        <f>Payroll_Run!R4</f>
        <v>No</v>
      </c>
      <c r="D12" s="5">
        <f>Payroll_Run!AE4</f>
        <v>2291.66</v>
      </c>
    </row>
    <row r="13" spans="1:7" x14ac:dyDescent="0.25">
      <c r="A13" s="1" t="str">
        <f>Payroll_Run!A5&amp;" "&amp;Payroll_Run!B5</f>
        <v>Olivia Newton</v>
      </c>
      <c r="B13" s="5">
        <f>Payroll_Run!Z5</f>
        <v>4166.67</v>
      </c>
      <c r="C13" s="1" t="str">
        <f>Payroll_Run!R5</f>
        <v>No</v>
      </c>
      <c r="D13" s="5">
        <f>Payroll_Run!AE5</f>
        <v>2083.34</v>
      </c>
    </row>
    <row r="14" spans="1:7" x14ac:dyDescent="0.25">
      <c r="A14" s="1" t="str">
        <f>Payroll_Run!A6&amp;" "&amp;Payroll_Run!B6</f>
        <v>James Telford</v>
      </c>
      <c r="B14" s="5">
        <f>Payroll_Run!Z6</f>
        <v>5000</v>
      </c>
      <c r="C14" s="1" t="str">
        <f>Payroll_Run!R6</f>
        <v>No</v>
      </c>
      <c r="D14" s="5">
        <f>Payroll_Run!AE6</f>
        <v>2500</v>
      </c>
    </row>
    <row r="15" spans="1:7" x14ac:dyDescent="0.25">
      <c r="A15" s="1" t="str">
        <f>Payroll_Run!A7&amp;" "&amp;Payroll_Run!B7</f>
        <v>Judy Murray</v>
      </c>
      <c r="B15" s="5">
        <f>Payroll_Run!Z7</f>
        <v>9166.67</v>
      </c>
      <c r="C15" s="1" t="str">
        <f>Payroll_Run!R7</f>
        <v>No</v>
      </c>
      <c r="D15" s="5">
        <f>Payroll_Run!AE7</f>
        <v>4583.34</v>
      </c>
    </row>
    <row r="16" spans="1:7" x14ac:dyDescent="0.25">
      <c r="A16" s="1" t="str">
        <f>Payroll_Run!A8&amp;" "&amp;Payroll_Run!B8</f>
        <v>Gemma Collins</v>
      </c>
      <c r="B16" s="5">
        <f>Payroll_Run!Z8</f>
        <v>2333.33</v>
      </c>
      <c r="C16" s="1" t="str">
        <f>Payroll_Run!R8</f>
        <v>No</v>
      </c>
      <c r="D16" s="5">
        <f>Payroll_Run!AE8</f>
        <v>1166.6600000000001</v>
      </c>
    </row>
    <row r="17" spans="1:4" x14ac:dyDescent="0.25">
      <c r="A17" s="1" t="str">
        <f>Payroll_Run!A9&amp;" "&amp;Payroll_Run!B9</f>
        <v>Tom Cruze</v>
      </c>
      <c r="B17" s="5">
        <f>Payroll_Run!Z9</f>
        <v>5833.33</v>
      </c>
      <c r="C17" s="1" t="str">
        <f>Payroll_Run!R9</f>
        <v>No</v>
      </c>
      <c r="D17" s="5">
        <f>Payroll_Run!AE9</f>
        <v>2916.66</v>
      </c>
    </row>
    <row r="18" spans="1:4" x14ac:dyDescent="0.25">
      <c r="A18" s="1" t="str">
        <f>Payroll_Run!A10&amp;" "&amp;Payroll_Run!B10</f>
        <v>Colin Naylor</v>
      </c>
      <c r="B18" s="5">
        <f>Payroll_Run!Z10</f>
        <v>9666.67</v>
      </c>
      <c r="C18" s="1" t="str">
        <f>Payroll_Run!R10</f>
        <v>No</v>
      </c>
      <c r="D18" s="5">
        <f>Payroll_Run!AE10</f>
        <v>4833.34</v>
      </c>
    </row>
    <row r="19" spans="1:4" x14ac:dyDescent="0.25">
      <c r="A19" s="1" t="str">
        <f>Payroll_Run!A11&amp;" "&amp;Payroll_Run!B11</f>
        <v>Jenny Holland</v>
      </c>
      <c r="B19" s="5">
        <f>Payroll_Run!Z11</f>
        <v>8333.33</v>
      </c>
      <c r="C19" s="1" t="str">
        <f>Payroll_Run!R11</f>
        <v>No</v>
      </c>
      <c r="D19" s="5">
        <f>Payroll_Run!AE11</f>
        <v>4166.66</v>
      </c>
    </row>
    <row r="20" spans="1:4" x14ac:dyDescent="0.25">
      <c r="A20" s="1" t="str">
        <f>Payroll_Run!A12&amp;" "&amp;Payroll_Run!B12</f>
        <v>Terry Tucker</v>
      </c>
      <c r="B20" s="5">
        <f>Payroll_Run!Z12</f>
        <v>4166.67</v>
      </c>
      <c r="C20" s="1" t="str">
        <f>Payroll_Run!R12</f>
        <v>Yes</v>
      </c>
      <c r="D20" s="5">
        <f>Payroll_Run!AE12</f>
        <v>1875.01</v>
      </c>
    </row>
    <row r="21" spans="1:4" x14ac:dyDescent="0.25">
      <c r="A21" s="1" t="str">
        <f>Payroll_Run!A13&amp;" "&amp;Payroll_Run!B13</f>
        <v>Tom Tinker</v>
      </c>
      <c r="B21" s="5">
        <f>Payroll_Run!Z13</f>
        <v>3044.44</v>
      </c>
      <c r="C21" s="1" t="str">
        <f>Payroll_Run!R13</f>
        <v>No</v>
      </c>
      <c r="D21" s="5">
        <f>Payroll_Run!AE13</f>
        <v>1522.23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3"/>
  <sheetViews>
    <sheetView workbookViewId="0">
      <selection activeCell="C55" sqref="C55"/>
    </sheetView>
  </sheetViews>
  <sheetFormatPr defaultRowHeight="15" x14ac:dyDescent="0.25"/>
  <cols>
    <col min="1" max="1" width="30" customWidth="1"/>
    <col min="2" max="2" width="9" customWidth="1"/>
    <col min="3" max="3" width="14" customWidth="1"/>
    <col min="4" max="4" width="12" customWidth="1"/>
    <col min="5" max="5" width="7" customWidth="1"/>
    <col min="6" max="6" width="8" customWidth="1"/>
    <col min="7" max="7" width="15" customWidth="1"/>
    <col min="8" max="8" width="28" customWidth="1"/>
    <col min="9" max="9" width="16" customWidth="1"/>
    <col min="10" max="10" width="15" customWidth="1"/>
    <col min="11" max="11" width="10" customWidth="1"/>
    <col min="12" max="12" width="30" customWidth="1"/>
    <col min="13" max="13" width="14" customWidth="1"/>
    <col min="14" max="14" width="10" customWidth="1"/>
    <col min="15" max="15" width="13" customWidth="1"/>
    <col min="16" max="16" width="10" customWidth="1"/>
    <col min="17" max="17" width="11" customWidth="1"/>
    <col min="18" max="19" width="15" customWidth="1"/>
    <col min="20" max="20" width="14" customWidth="1"/>
    <col min="21" max="21" width="17" customWidth="1"/>
    <col min="22" max="22" width="20" customWidth="1"/>
    <col min="23" max="23" width="24" customWidth="1"/>
    <col min="24" max="24" width="19" customWidth="1"/>
    <col min="25" max="25" width="18" customWidth="1"/>
    <col min="26" max="29" width="28" customWidth="1"/>
    <col min="30" max="31" width="30" customWidth="1"/>
    <col min="32" max="33" width="15" customWidth="1"/>
    <col min="34" max="34" width="30" customWidth="1"/>
  </cols>
  <sheetData>
    <row r="1" spans="1:34" x14ac:dyDescent="0.25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22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21</v>
      </c>
      <c r="AA2" s="3" t="s">
        <v>49</v>
      </c>
      <c r="AB2" s="3" t="s">
        <v>50</v>
      </c>
      <c r="AC2" s="3" t="s">
        <v>11</v>
      </c>
      <c r="AD2" s="3" t="s">
        <v>51</v>
      </c>
      <c r="AE2" s="3" t="s">
        <v>23</v>
      </c>
      <c r="AF2" s="3" t="s">
        <v>52</v>
      </c>
      <c r="AG2" s="3" t="s">
        <v>53</v>
      </c>
      <c r="AH2" s="3" t="s">
        <v>54</v>
      </c>
    </row>
    <row r="3" spans="1:34" x14ac:dyDescent="0.25">
      <c r="A3" s="1" t="s">
        <v>55</v>
      </c>
      <c r="B3" s="1" t="s">
        <v>56</v>
      </c>
      <c r="C3" s="1" t="s">
        <v>57</v>
      </c>
      <c r="D3" s="6" t="s">
        <v>58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6" t="s">
        <v>65</v>
      </c>
      <c r="L3" s="1" t="s">
        <v>66</v>
      </c>
      <c r="M3" s="6" t="s">
        <v>67</v>
      </c>
      <c r="N3" s="1" t="s">
        <v>68</v>
      </c>
      <c r="O3" s="6" t="s">
        <v>69</v>
      </c>
      <c r="P3" s="1" t="s">
        <v>70</v>
      </c>
      <c r="Q3" s="1" t="s">
        <v>69</v>
      </c>
      <c r="R3" s="1" t="s">
        <v>71</v>
      </c>
      <c r="S3" s="1" t="s">
        <v>71</v>
      </c>
      <c r="T3" s="1" t="s">
        <v>72</v>
      </c>
      <c r="U3" s="4">
        <v>85000</v>
      </c>
      <c r="V3" s="7">
        <f t="shared" ref="V3:V13" si="0">ROUND(U3/12,2)</f>
        <v>7083.33</v>
      </c>
      <c r="W3" s="4">
        <v>30</v>
      </c>
      <c r="X3" s="8">
        <f>W3/Summary!$B$2</f>
        <v>1</v>
      </c>
      <c r="Y3" s="4">
        <v>0</v>
      </c>
      <c r="Z3" s="7">
        <f t="shared" ref="Z3:Z13" si="1">ROUND((U3/12)*X3+Y3,2)</f>
        <v>7083.33</v>
      </c>
      <c r="AA3" s="7">
        <f>ROUND(Z3*Summary!$B$3,2)</f>
        <v>2479.17</v>
      </c>
      <c r="AB3" s="7">
        <f>ROUND(Z3*Summary!$B$4,2)</f>
        <v>708.33</v>
      </c>
      <c r="AC3" s="7">
        <f>ROUND(Z3*Summary!$B$5,2)</f>
        <v>354.17</v>
      </c>
      <c r="AD3" s="7">
        <f>IF(R3="Yes",ROUND(Z3*Summary!$B$6,2),0)</f>
        <v>0</v>
      </c>
      <c r="AE3" s="7">
        <f t="shared" ref="AE3:AE13" si="2">ROUND(Z3-AA3-AB3-AC3-AD3,2)</f>
        <v>3541.66</v>
      </c>
      <c r="AF3" s="4"/>
      <c r="AG3" s="4"/>
      <c r="AH3" s="1" t="s">
        <v>73</v>
      </c>
    </row>
    <row r="4" spans="1:34" x14ac:dyDescent="0.25">
      <c r="A4" s="1" t="s">
        <v>74</v>
      </c>
      <c r="B4" s="1" t="s">
        <v>75</v>
      </c>
      <c r="C4" s="1" t="s">
        <v>76</v>
      </c>
      <c r="D4" s="6" t="s">
        <v>77</v>
      </c>
      <c r="E4" s="1" t="s">
        <v>78</v>
      </c>
      <c r="F4" s="1" t="s">
        <v>79</v>
      </c>
      <c r="G4" s="1" t="s">
        <v>80</v>
      </c>
      <c r="H4" s="1" t="s">
        <v>81</v>
      </c>
      <c r="I4" s="1" t="s">
        <v>63</v>
      </c>
      <c r="J4" s="1" t="s">
        <v>82</v>
      </c>
      <c r="K4" s="6" t="s">
        <v>83</v>
      </c>
      <c r="L4" s="1" t="s">
        <v>84</v>
      </c>
      <c r="M4" s="6" t="s">
        <v>85</v>
      </c>
      <c r="N4" s="1" t="s">
        <v>86</v>
      </c>
      <c r="O4" s="6" t="s">
        <v>71</v>
      </c>
      <c r="P4" s="1" t="s">
        <v>70</v>
      </c>
      <c r="Q4" s="1" t="s">
        <v>71</v>
      </c>
      <c r="R4" s="1" t="s">
        <v>71</v>
      </c>
      <c r="S4" s="1" t="s">
        <v>71</v>
      </c>
      <c r="T4" s="1" t="s">
        <v>72</v>
      </c>
      <c r="U4" s="4">
        <v>55000</v>
      </c>
      <c r="V4" s="7">
        <f t="shared" si="0"/>
        <v>4583.33</v>
      </c>
      <c r="W4" s="4">
        <v>30</v>
      </c>
      <c r="X4" s="8">
        <f>W4/Summary!$B$2</f>
        <v>1</v>
      </c>
      <c r="Y4" s="4">
        <v>0</v>
      </c>
      <c r="Z4" s="7">
        <f t="shared" si="1"/>
        <v>4583.33</v>
      </c>
      <c r="AA4" s="7">
        <f>ROUND(Z4*Summary!$B$3,2)</f>
        <v>1604.17</v>
      </c>
      <c r="AB4" s="7">
        <f>ROUND(Z4*Summary!$B$4,2)</f>
        <v>458.33</v>
      </c>
      <c r="AC4" s="7">
        <f>ROUND(Z4*Summary!$B$5,2)</f>
        <v>229.17</v>
      </c>
      <c r="AD4" s="7">
        <f>IF(R4="Yes",ROUND(Z4*Summary!$B$6,2),0)</f>
        <v>0</v>
      </c>
      <c r="AE4" s="7">
        <f t="shared" si="2"/>
        <v>2291.66</v>
      </c>
      <c r="AF4" s="4"/>
      <c r="AG4" s="4"/>
      <c r="AH4" s="1" t="s">
        <v>87</v>
      </c>
    </row>
    <row r="5" spans="1:34" x14ac:dyDescent="0.25">
      <c r="A5" s="1" t="s">
        <v>88</v>
      </c>
      <c r="B5" s="1" t="s">
        <v>89</v>
      </c>
      <c r="C5" s="1" t="s">
        <v>90</v>
      </c>
      <c r="D5" s="6" t="s">
        <v>91</v>
      </c>
      <c r="E5" s="1" t="s">
        <v>59</v>
      </c>
      <c r="F5" s="1" t="s">
        <v>79</v>
      </c>
      <c r="G5" s="1" t="s">
        <v>92</v>
      </c>
      <c r="H5" s="1" t="s">
        <v>93</v>
      </c>
      <c r="I5" s="1" t="s">
        <v>94</v>
      </c>
      <c r="J5" s="1" t="s">
        <v>95</v>
      </c>
      <c r="K5" s="6" t="s">
        <v>96</v>
      </c>
      <c r="L5" s="1" t="s">
        <v>97</v>
      </c>
      <c r="M5" s="6" t="s">
        <v>98</v>
      </c>
      <c r="N5" s="1" t="s">
        <v>86</v>
      </c>
      <c r="O5" s="6" t="s">
        <v>71</v>
      </c>
      <c r="P5" s="1" t="s">
        <v>70</v>
      </c>
      <c r="Q5" s="1" t="s">
        <v>71</v>
      </c>
      <c r="R5" s="1" t="s">
        <v>71</v>
      </c>
      <c r="S5" s="1" t="s">
        <v>71</v>
      </c>
      <c r="T5" s="1" t="s">
        <v>72</v>
      </c>
      <c r="U5" s="4">
        <v>50000</v>
      </c>
      <c r="V5" s="7">
        <f t="shared" si="0"/>
        <v>4166.67</v>
      </c>
      <c r="W5" s="4">
        <v>30</v>
      </c>
      <c r="X5" s="8">
        <f>W5/Summary!$B$2</f>
        <v>1</v>
      </c>
      <c r="Y5" s="4">
        <v>0</v>
      </c>
      <c r="Z5" s="7">
        <f t="shared" si="1"/>
        <v>4166.67</v>
      </c>
      <c r="AA5" s="7">
        <f>ROUND(Z5*Summary!$B$3,2)</f>
        <v>1458.33</v>
      </c>
      <c r="AB5" s="7">
        <f>ROUND(Z5*Summary!$B$4,2)</f>
        <v>416.67</v>
      </c>
      <c r="AC5" s="7">
        <f>ROUND(Z5*Summary!$B$5,2)</f>
        <v>208.33</v>
      </c>
      <c r="AD5" s="7">
        <f>IF(R5="Yes",ROUND(Z5*Summary!$B$6,2),0)</f>
        <v>0</v>
      </c>
      <c r="AE5" s="7">
        <f t="shared" si="2"/>
        <v>2083.34</v>
      </c>
      <c r="AF5" s="4"/>
      <c r="AG5" s="4"/>
      <c r="AH5" s="1" t="s">
        <v>87</v>
      </c>
    </row>
    <row r="6" spans="1:34" x14ac:dyDescent="0.25">
      <c r="A6" s="1" t="s">
        <v>99</v>
      </c>
      <c r="B6" s="1" t="s">
        <v>100</v>
      </c>
      <c r="C6" s="1" t="s">
        <v>101</v>
      </c>
      <c r="D6" s="6" t="s">
        <v>102</v>
      </c>
      <c r="E6" s="1" t="s">
        <v>59</v>
      </c>
      <c r="F6" s="1" t="s">
        <v>60</v>
      </c>
      <c r="G6" s="1" t="s">
        <v>103</v>
      </c>
      <c r="H6" s="1" t="s">
        <v>104</v>
      </c>
      <c r="I6" s="1" t="s">
        <v>94</v>
      </c>
      <c r="J6" s="1" t="s">
        <v>105</v>
      </c>
      <c r="K6" s="6" t="s">
        <v>106</v>
      </c>
      <c r="L6" s="1" t="s">
        <v>107</v>
      </c>
      <c r="M6" s="6" t="s">
        <v>108</v>
      </c>
      <c r="N6" s="1" t="s">
        <v>86</v>
      </c>
      <c r="O6" s="6" t="s">
        <v>71</v>
      </c>
      <c r="P6" s="1" t="s">
        <v>70</v>
      </c>
      <c r="Q6" s="1" t="s">
        <v>69</v>
      </c>
      <c r="R6" s="1" t="s">
        <v>71</v>
      </c>
      <c r="S6" s="1" t="s">
        <v>71</v>
      </c>
      <c r="T6" s="1" t="s">
        <v>72</v>
      </c>
      <c r="U6" s="4">
        <v>60000</v>
      </c>
      <c r="V6" s="7">
        <f t="shared" si="0"/>
        <v>5000</v>
      </c>
      <c r="W6" s="4">
        <v>30</v>
      </c>
      <c r="X6" s="8">
        <f>W6/Summary!$B$2</f>
        <v>1</v>
      </c>
      <c r="Y6" s="4">
        <v>0</v>
      </c>
      <c r="Z6" s="7">
        <f t="shared" si="1"/>
        <v>5000</v>
      </c>
      <c r="AA6" s="7">
        <f>ROUND(Z6*Summary!$B$3,2)</f>
        <v>1750</v>
      </c>
      <c r="AB6" s="7">
        <f>ROUND(Z6*Summary!$B$4,2)</f>
        <v>500</v>
      </c>
      <c r="AC6" s="7">
        <f>ROUND(Z6*Summary!$B$5,2)</f>
        <v>250</v>
      </c>
      <c r="AD6" s="7">
        <f>IF(R6="Yes",ROUND(Z6*Summary!$B$6,2),0)</f>
        <v>0</v>
      </c>
      <c r="AE6" s="7">
        <f t="shared" si="2"/>
        <v>2500</v>
      </c>
      <c r="AF6" s="4"/>
      <c r="AG6" s="4"/>
      <c r="AH6" s="1" t="s">
        <v>87</v>
      </c>
    </row>
    <row r="7" spans="1:34" x14ac:dyDescent="0.25">
      <c r="A7" s="1" t="s">
        <v>109</v>
      </c>
      <c r="B7" s="1" t="s">
        <v>110</v>
      </c>
      <c r="C7" s="1" t="s">
        <v>111</v>
      </c>
      <c r="D7" s="6" t="s">
        <v>112</v>
      </c>
      <c r="E7" s="1" t="s">
        <v>59</v>
      </c>
      <c r="F7" s="1" t="s">
        <v>79</v>
      </c>
      <c r="G7" s="1" t="s">
        <v>113</v>
      </c>
      <c r="H7" s="1" t="s">
        <v>114</v>
      </c>
      <c r="I7" s="1" t="s">
        <v>115</v>
      </c>
      <c r="J7" s="1" t="s">
        <v>64</v>
      </c>
      <c r="K7" s="6" t="s">
        <v>116</v>
      </c>
      <c r="L7" s="1" t="s">
        <v>117</v>
      </c>
      <c r="M7" s="6" t="s">
        <v>118</v>
      </c>
      <c r="N7" s="1" t="s">
        <v>119</v>
      </c>
      <c r="O7" s="6" t="s">
        <v>71</v>
      </c>
      <c r="P7" s="1" t="s">
        <v>70</v>
      </c>
      <c r="Q7" s="1" t="s">
        <v>71</v>
      </c>
      <c r="R7" s="1" t="s">
        <v>71</v>
      </c>
      <c r="S7" s="1" t="s">
        <v>71</v>
      </c>
      <c r="T7" s="1" t="s">
        <v>72</v>
      </c>
      <c r="U7" s="4">
        <v>110000</v>
      </c>
      <c r="V7" s="7">
        <f t="shared" si="0"/>
        <v>9166.67</v>
      </c>
      <c r="W7" s="4">
        <v>30</v>
      </c>
      <c r="X7" s="8">
        <f>W7/Summary!$B$2</f>
        <v>1</v>
      </c>
      <c r="Y7" s="4">
        <v>0</v>
      </c>
      <c r="Z7" s="7">
        <f t="shared" si="1"/>
        <v>9166.67</v>
      </c>
      <c r="AA7" s="7">
        <f>ROUND(Z7*Summary!$B$3,2)</f>
        <v>3208.33</v>
      </c>
      <c r="AB7" s="7">
        <f>ROUND(Z7*Summary!$B$4,2)</f>
        <v>916.67</v>
      </c>
      <c r="AC7" s="7">
        <f>ROUND(Z7*Summary!$B$5,2)</f>
        <v>458.33</v>
      </c>
      <c r="AD7" s="7">
        <f>IF(R7="Yes",ROUND(Z7*Summary!$B$6,2),0)</f>
        <v>0</v>
      </c>
      <c r="AE7" s="7">
        <f t="shared" si="2"/>
        <v>4583.34</v>
      </c>
      <c r="AF7" s="4"/>
      <c r="AG7" s="4"/>
      <c r="AH7" s="1" t="s">
        <v>87</v>
      </c>
    </row>
    <row r="8" spans="1:34" x14ac:dyDescent="0.25">
      <c r="A8" s="1" t="s">
        <v>74</v>
      </c>
      <c r="B8" s="1" t="s">
        <v>120</v>
      </c>
      <c r="C8" s="1" t="s">
        <v>121</v>
      </c>
      <c r="D8" s="6" t="s">
        <v>122</v>
      </c>
      <c r="E8" s="1" t="s">
        <v>78</v>
      </c>
      <c r="F8" s="1" t="s">
        <v>79</v>
      </c>
      <c r="G8" s="1" t="s">
        <v>123</v>
      </c>
      <c r="H8" s="1" t="s">
        <v>124</v>
      </c>
      <c r="I8" s="1" t="s">
        <v>125</v>
      </c>
      <c r="J8" s="1" t="s">
        <v>64</v>
      </c>
      <c r="K8" s="6" t="s">
        <v>96</v>
      </c>
      <c r="L8" s="1" t="s">
        <v>126</v>
      </c>
      <c r="M8" s="6" t="s">
        <v>127</v>
      </c>
      <c r="N8" s="1" t="s">
        <v>86</v>
      </c>
      <c r="O8" s="6" t="s">
        <v>71</v>
      </c>
      <c r="P8" s="1" t="s">
        <v>70</v>
      </c>
      <c r="Q8" s="1" t="s">
        <v>71</v>
      </c>
      <c r="R8" s="1" t="s">
        <v>71</v>
      </c>
      <c r="S8" s="1" t="s">
        <v>71</v>
      </c>
      <c r="T8" s="1" t="s">
        <v>72</v>
      </c>
      <c r="U8" s="4">
        <v>28000</v>
      </c>
      <c r="V8" s="7">
        <f t="shared" si="0"/>
        <v>2333.33</v>
      </c>
      <c r="W8" s="4">
        <v>30</v>
      </c>
      <c r="X8" s="8">
        <f>W8/Summary!$B$2</f>
        <v>1</v>
      </c>
      <c r="Y8" s="4">
        <v>0</v>
      </c>
      <c r="Z8" s="7">
        <f t="shared" si="1"/>
        <v>2333.33</v>
      </c>
      <c r="AA8" s="7">
        <f>ROUND(Z8*Summary!$B$3,2)</f>
        <v>816.67</v>
      </c>
      <c r="AB8" s="7">
        <f>ROUND(Z8*Summary!$B$4,2)</f>
        <v>233.33</v>
      </c>
      <c r="AC8" s="7">
        <f>ROUND(Z8*Summary!$B$5,2)</f>
        <v>116.67</v>
      </c>
      <c r="AD8" s="7">
        <f>IF(R8="Yes",ROUND(Z8*Summary!$B$6,2),0)</f>
        <v>0</v>
      </c>
      <c r="AE8" s="7">
        <f t="shared" si="2"/>
        <v>1166.6600000000001</v>
      </c>
      <c r="AF8" s="4"/>
      <c r="AG8" s="4"/>
      <c r="AH8" s="1" t="s">
        <v>128</v>
      </c>
    </row>
    <row r="9" spans="1:34" x14ac:dyDescent="0.25">
      <c r="A9" s="1" t="s">
        <v>129</v>
      </c>
      <c r="B9" s="1" t="s">
        <v>130</v>
      </c>
      <c r="C9" s="1" t="s">
        <v>131</v>
      </c>
      <c r="D9" s="6" t="s">
        <v>132</v>
      </c>
      <c r="E9" s="1" t="s">
        <v>78</v>
      </c>
      <c r="F9" s="1" t="s">
        <v>60</v>
      </c>
      <c r="G9" s="1" t="s">
        <v>133</v>
      </c>
      <c r="H9" s="1" t="s">
        <v>81</v>
      </c>
      <c r="I9" s="1" t="s">
        <v>134</v>
      </c>
      <c r="J9" s="1" t="s">
        <v>135</v>
      </c>
      <c r="K9" s="6" t="s">
        <v>96</v>
      </c>
      <c r="L9" s="1" t="s">
        <v>136</v>
      </c>
      <c r="M9" s="6" t="s">
        <v>137</v>
      </c>
      <c r="N9" s="1" t="s">
        <v>138</v>
      </c>
      <c r="O9" s="6" t="s">
        <v>69</v>
      </c>
      <c r="P9" s="1" t="s">
        <v>70</v>
      </c>
      <c r="Q9" s="1" t="s">
        <v>71</v>
      </c>
      <c r="R9" s="1" t="s">
        <v>71</v>
      </c>
      <c r="S9" s="1" t="s">
        <v>71</v>
      </c>
      <c r="T9" s="1" t="s">
        <v>72</v>
      </c>
      <c r="U9" s="4">
        <v>70000</v>
      </c>
      <c r="V9" s="7">
        <f t="shared" si="0"/>
        <v>5833.33</v>
      </c>
      <c r="W9" s="4">
        <v>30</v>
      </c>
      <c r="X9" s="8">
        <f>W9/Summary!$B$2</f>
        <v>1</v>
      </c>
      <c r="Y9" s="4">
        <v>0</v>
      </c>
      <c r="Z9" s="7">
        <f t="shared" si="1"/>
        <v>5833.33</v>
      </c>
      <c r="AA9" s="7">
        <f>ROUND(Z9*Summary!$B$3,2)</f>
        <v>2041.67</v>
      </c>
      <c r="AB9" s="7">
        <f>ROUND(Z9*Summary!$B$4,2)</f>
        <v>583.33000000000004</v>
      </c>
      <c r="AC9" s="7">
        <f>ROUND(Z9*Summary!$B$5,2)</f>
        <v>291.67</v>
      </c>
      <c r="AD9" s="7">
        <f>IF(R9="Yes",ROUND(Z9*Summary!$B$6,2),0)</f>
        <v>0</v>
      </c>
      <c r="AE9" s="7">
        <f t="shared" si="2"/>
        <v>2916.66</v>
      </c>
      <c r="AF9" s="4"/>
      <c r="AG9" s="4"/>
      <c r="AH9" s="1" t="s">
        <v>139</v>
      </c>
    </row>
    <row r="10" spans="1:34" x14ac:dyDescent="0.25">
      <c r="A10" s="1" t="s">
        <v>140</v>
      </c>
      <c r="B10" s="1" t="s">
        <v>141</v>
      </c>
      <c r="C10" s="1" t="s">
        <v>142</v>
      </c>
      <c r="D10" s="6" t="s">
        <v>143</v>
      </c>
      <c r="E10" s="1" t="s">
        <v>59</v>
      </c>
      <c r="F10" s="1" t="s">
        <v>60</v>
      </c>
      <c r="G10" s="1" t="s">
        <v>144</v>
      </c>
      <c r="H10" s="1" t="s">
        <v>145</v>
      </c>
      <c r="I10" s="1" t="s">
        <v>146</v>
      </c>
      <c r="J10" s="1" t="s">
        <v>135</v>
      </c>
      <c r="K10" s="6" t="s">
        <v>116</v>
      </c>
      <c r="L10" s="1" t="s">
        <v>147</v>
      </c>
      <c r="M10" s="6" t="s">
        <v>148</v>
      </c>
      <c r="N10" s="1" t="s">
        <v>86</v>
      </c>
      <c r="O10" s="6" t="s">
        <v>71</v>
      </c>
      <c r="P10" s="1" t="s">
        <v>70</v>
      </c>
      <c r="Q10" s="1" t="s">
        <v>71</v>
      </c>
      <c r="R10" s="1" t="s">
        <v>71</v>
      </c>
      <c r="S10" s="1" t="s">
        <v>71</v>
      </c>
      <c r="T10" s="1" t="s">
        <v>72</v>
      </c>
      <c r="U10" s="4">
        <v>116000</v>
      </c>
      <c r="V10" s="7">
        <f t="shared" si="0"/>
        <v>9666.67</v>
      </c>
      <c r="W10" s="4">
        <v>30</v>
      </c>
      <c r="X10" s="8">
        <f>W10/Summary!$B$2</f>
        <v>1</v>
      </c>
      <c r="Y10" s="4">
        <v>0</v>
      </c>
      <c r="Z10" s="7">
        <f t="shared" si="1"/>
        <v>9666.67</v>
      </c>
      <c r="AA10" s="7">
        <f>ROUND(Z10*Summary!$B$3,2)</f>
        <v>3383.33</v>
      </c>
      <c r="AB10" s="7">
        <f>ROUND(Z10*Summary!$B$4,2)</f>
        <v>966.67</v>
      </c>
      <c r="AC10" s="7">
        <f>ROUND(Z10*Summary!$B$5,2)</f>
        <v>483.33</v>
      </c>
      <c r="AD10" s="7">
        <f>IF(R10="Yes",ROUND(Z10*Summary!$B$6,2),0)</f>
        <v>0</v>
      </c>
      <c r="AE10" s="7">
        <f t="shared" si="2"/>
        <v>4833.34</v>
      </c>
      <c r="AF10" s="4"/>
      <c r="AG10" s="4"/>
      <c r="AH10" s="1" t="s">
        <v>87</v>
      </c>
    </row>
    <row r="11" spans="1:34" x14ac:dyDescent="0.25">
      <c r="A11" s="1" t="s">
        <v>149</v>
      </c>
      <c r="B11" s="1" t="s">
        <v>150</v>
      </c>
      <c r="C11" s="1" t="s">
        <v>151</v>
      </c>
      <c r="D11" s="6" t="s">
        <v>152</v>
      </c>
      <c r="E11" s="1" t="s">
        <v>59</v>
      </c>
      <c r="F11" s="1" t="s">
        <v>79</v>
      </c>
      <c r="G11" s="1" t="s">
        <v>153</v>
      </c>
      <c r="H11" s="1" t="s">
        <v>154</v>
      </c>
      <c r="I11" s="1" t="s">
        <v>155</v>
      </c>
      <c r="J11" s="1" t="s">
        <v>82</v>
      </c>
      <c r="K11" s="6" t="s">
        <v>156</v>
      </c>
      <c r="L11" s="1" t="s">
        <v>157</v>
      </c>
      <c r="M11" s="6" t="s">
        <v>158</v>
      </c>
      <c r="N11" s="1" t="s">
        <v>86</v>
      </c>
      <c r="O11" s="6" t="s">
        <v>69</v>
      </c>
      <c r="P11" s="1" t="s">
        <v>70</v>
      </c>
      <c r="Q11" s="1" t="s">
        <v>71</v>
      </c>
      <c r="R11" s="1" t="s">
        <v>71</v>
      </c>
      <c r="S11" s="1" t="s">
        <v>71</v>
      </c>
      <c r="T11" s="1" t="s">
        <v>72</v>
      </c>
      <c r="U11" s="4">
        <v>100000</v>
      </c>
      <c r="V11" s="7">
        <f t="shared" si="0"/>
        <v>8333.33</v>
      </c>
      <c r="W11" s="4">
        <v>30</v>
      </c>
      <c r="X11" s="8">
        <f>W11/Summary!$B$2</f>
        <v>1</v>
      </c>
      <c r="Y11" s="4">
        <v>0</v>
      </c>
      <c r="Z11" s="7">
        <f t="shared" si="1"/>
        <v>8333.33</v>
      </c>
      <c r="AA11" s="7">
        <f>ROUND(Z11*Summary!$B$3,2)</f>
        <v>2916.67</v>
      </c>
      <c r="AB11" s="7">
        <f>ROUND(Z11*Summary!$B$4,2)</f>
        <v>833.33</v>
      </c>
      <c r="AC11" s="7">
        <f>ROUND(Z11*Summary!$B$5,2)</f>
        <v>416.67</v>
      </c>
      <c r="AD11" s="7">
        <f>IF(R11="Yes",ROUND(Z11*Summary!$B$6,2),0)</f>
        <v>0</v>
      </c>
      <c r="AE11" s="7">
        <f t="shared" si="2"/>
        <v>4166.66</v>
      </c>
      <c r="AF11" s="4"/>
      <c r="AG11" s="4"/>
      <c r="AH11" s="1" t="s">
        <v>87</v>
      </c>
    </row>
    <row r="12" spans="1:34" x14ac:dyDescent="0.25">
      <c r="A12" s="1" t="s">
        <v>159</v>
      </c>
      <c r="B12" s="1" t="s">
        <v>160</v>
      </c>
      <c r="C12" s="1" t="s">
        <v>161</v>
      </c>
      <c r="D12" s="6" t="s">
        <v>162</v>
      </c>
      <c r="E12" s="1" t="s">
        <v>59</v>
      </c>
      <c r="F12" s="1" t="s">
        <v>60</v>
      </c>
      <c r="G12" s="1" t="s">
        <v>163</v>
      </c>
      <c r="H12" s="1" t="s">
        <v>164</v>
      </c>
      <c r="I12" s="1" t="s">
        <v>165</v>
      </c>
      <c r="J12" s="1"/>
      <c r="K12" s="6" t="s">
        <v>166</v>
      </c>
      <c r="L12" s="1" t="s">
        <v>167</v>
      </c>
      <c r="M12" s="6" t="s">
        <v>168</v>
      </c>
      <c r="N12" s="1" t="s">
        <v>86</v>
      </c>
      <c r="O12" s="6" t="s">
        <v>69</v>
      </c>
      <c r="P12" s="1" t="s">
        <v>70</v>
      </c>
      <c r="Q12" s="1" t="s">
        <v>71</v>
      </c>
      <c r="R12" s="1" t="s">
        <v>69</v>
      </c>
      <c r="S12" s="1" t="s">
        <v>71</v>
      </c>
      <c r="T12" s="1" t="s">
        <v>72</v>
      </c>
      <c r="U12" s="4">
        <v>50000</v>
      </c>
      <c r="V12" s="7">
        <f t="shared" si="0"/>
        <v>4166.67</v>
      </c>
      <c r="W12" s="4">
        <v>30</v>
      </c>
      <c r="X12" s="8">
        <f>W12/Summary!$B$2</f>
        <v>1</v>
      </c>
      <c r="Y12" s="4">
        <v>0</v>
      </c>
      <c r="Z12" s="7">
        <f t="shared" si="1"/>
        <v>4166.67</v>
      </c>
      <c r="AA12" s="7">
        <f>ROUND(Z12*Summary!$B$3,2)</f>
        <v>1458.33</v>
      </c>
      <c r="AB12" s="7">
        <f>ROUND(Z12*Summary!$B$4,2)</f>
        <v>416.67</v>
      </c>
      <c r="AC12" s="7">
        <f>ROUND(Z12*Summary!$B$5,2)</f>
        <v>208.33</v>
      </c>
      <c r="AD12" s="7">
        <f>IF(R12="Yes",ROUND(Z12*Summary!$B$6,2),0)</f>
        <v>208.33</v>
      </c>
      <c r="AE12" s="7">
        <f t="shared" si="2"/>
        <v>1875.01</v>
      </c>
      <c r="AF12" s="4">
        <v>2000</v>
      </c>
      <c r="AG12" s="4">
        <v>400</v>
      </c>
      <c r="AH12" s="1" t="s">
        <v>169</v>
      </c>
    </row>
    <row r="13" spans="1:34" x14ac:dyDescent="0.25">
      <c r="A13" s="1" t="s">
        <v>129</v>
      </c>
      <c r="B13" s="1" t="s">
        <v>170</v>
      </c>
      <c r="C13" s="1" t="s">
        <v>171</v>
      </c>
      <c r="D13" s="6" t="s">
        <v>172</v>
      </c>
      <c r="E13" s="1" t="s">
        <v>59</v>
      </c>
      <c r="F13" s="1" t="s">
        <v>60</v>
      </c>
      <c r="G13" s="1" t="s">
        <v>173</v>
      </c>
      <c r="H13" s="1" t="s">
        <v>174</v>
      </c>
      <c r="I13" s="1" t="s">
        <v>175</v>
      </c>
      <c r="J13" s="1" t="s">
        <v>176</v>
      </c>
      <c r="K13" s="6" t="s">
        <v>177</v>
      </c>
      <c r="L13" s="1" t="s">
        <v>178</v>
      </c>
      <c r="M13" s="6" t="s">
        <v>179</v>
      </c>
      <c r="N13" s="1" t="s">
        <v>86</v>
      </c>
      <c r="O13" s="6" t="s">
        <v>71</v>
      </c>
      <c r="P13" s="1" t="s">
        <v>70</v>
      </c>
      <c r="Q13" s="1" t="s">
        <v>71</v>
      </c>
      <c r="R13" s="1" t="s">
        <v>71</v>
      </c>
      <c r="S13" s="1" t="s">
        <v>71</v>
      </c>
      <c r="T13" s="1" t="s">
        <v>72</v>
      </c>
      <c r="U13" s="4">
        <v>32000</v>
      </c>
      <c r="V13" s="7">
        <f t="shared" si="0"/>
        <v>2666.67</v>
      </c>
      <c r="W13" s="4">
        <v>23</v>
      </c>
      <c r="X13" s="8">
        <f>W13/Summary!$B$2</f>
        <v>0.76666666666666672</v>
      </c>
      <c r="Y13" s="4">
        <v>1000</v>
      </c>
      <c r="Z13" s="7">
        <f t="shared" si="1"/>
        <v>3044.44</v>
      </c>
      <c r="AA13" s="7">
        <f>ROUND(Z13*Summary!$B$3,2)</f>
        <v>1065.55</v>
      </c>
      <c r="AB13" s="7">
        <f>ROUND(Z13*Summary!$B$4,2)</f>
        <v>304.44</v>
      </c>
      <c r="AC13" s="7">
        <f>ROUND(Z13*Summary!$B$5,2)</f>
        <v>152.22</v>
      </c>
      <c r="AD13" s="7">
        <f>IF(R13="Yes",ROUND(Z13*Summary!$B$6,2),0)</f>
        <v>0</v>
      </c>
      <c r="AE13" s="7">
        <f t="shared" si="2"/>
        <v>1522.23</v>
      </c>
      <c r="AF13" s="4">
        <v>3000</v>
      </c>
      <c r="AG13" s="4">
        <v>750</v>
      </c>
      <c r="AH13" s="1" t="s">
        <v>180</v>
      </c>
    </row>
  </sheetData>
  <mergeCells count="1">
    <mergeCell ref="A1:AH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/>
  </sheetViews>
  <sheetFormatPr defaultRowHeight="15" x14ac:dyDescent="0.25"/>
  <cols>
    <col min="1" max="1" width="30" customWidth="1"/>
    <col min="2" max="3" width="19" customWidth="1"/>
    <col min="4" max="4" width="30" customWidth="1"/>
    <col min="5" max="7" width="19" customWidth="1"/>
  </cols>
  <sheetData>
    <row r="1" spans="1:7" x14ac:dyDescent="0.25">
      <c r="A1" s="3" t="s">
        <v>20</v>
      </c>
      <c r="B1" s="3" t="s">
        <v>181</v>
      </c>
      <c r="C1" s="3" t="s">
        <v>182</v>
      </c>
      <c r="D1" s="3" t="s">
        <v>50</v>
      </c>
      <c r="E1" s="3" t="s">
        <v>11</v>
      </c>
      <c r="F1" s="3" t="s">
        <v>51</v>
      </c>
      <c r="G1" s="3" t="s">
        <v>183</v>
      </c>
    </row>
    <row r="2" spans="1:7" x14ac:dyDescent="0.25">
      <c r="A2" s="1" t="str">
        <f>Payroll_Run!A3&amp;" "&amp;Payroll_Run!B3</f>
        <v>David Watkins</v>
      </c>
      <c r="B2" s="5">
        <f>Payroll_Run!Z3</f>
        <v>7083.33</v>
      </c>
      <c r="C2" s="5">
        <f>Payroll_Run!AA3</f>
        <v>2479.17</v>
      </c>
      <c r="D2" s="5">
        <f>Payroll_Run!AB3</f>
        <v>708.33</v>
      </c>
      <c r="E2" s="5">
        <f>Payroll_Run!AC3</f>
        <v>354.17</v>
      </c>
      <c r="F2" s="5">
        <f>Payroll_Run!AD3</f>
        <v>0</v>
      </c>
      <c r="G2" s="5">
        <f>Payroll_Run!AE3</f>
        <v>3541.66</v>
      </c>
    </row>
    <row r="3" spans="1:7" x14ac:dyDescent="0.25">
      <c r="A3" s="1" t="str">
        <f>Payroll_Run!A4&amp;" "&amp;Payroll_Run!B4</f>
        <v>Gemma Tompson</v>
      </c>
      <c r="B3" s="5">
        <f>Payroll_Run!Z4</f>
        <v>4583.33</v>
      </c>
      <c r="C3" s="5">
        <f>Payroll_Run!AA4</f>
        <v>1604.17</v>
      </c>
      <c r="D3" s="5">
        <f>Payroll_Run!AB4</f>
        <v>458.33</v>
      </c>
      <c r="E3" s="5">
        <f>Payroll_Run!AC4</f>
        <v>229.17</v>
      </c>
      <c r="F3" s="5">
        <f>Payroll_Run!AD4</f>
        <v>0</v>
      </c>
      <c r="G3" s="5">
        <f>Payroll_Run!AE4</f>
        <v>2291.66</v>
      </c>
    </row>
    <row r="4" spans="1:7" x14ac:dyDescent="0.25">
      <c r="A4" s="1" t="str">
        <f>Payroll_Run!A5&amp;" "&amp;Payroll_Run!B5</f>
        <v>Olivia Newton</v>
      </c>
      <c r="B4" s="5">
        <f>Payroll_Run!Z5</f>
        <v>4166.67</v>
      </c>
      <c r="C4" s="5">
        <f>Payroll_Run!AA5</f>
        <v>1458.33</v>
      </c>
      <c r="D4" s="5">
        <f>Payroll_Run!AB5</f>
        <v>416.67</v>
      </c>
      <c r="E4" s="5">
        <f>Payroll_Run!AC5</f>
        <v>208.33</v>
      </c>
      <c r="F4" s="5">
        <f>Payroll_Run!AD5</f>
        <v>0</v>
      </c>
      <c r="G4" s="5">
        <f>Payroll_Run!AE5</f>
        <v>2083.34</v>
      </c>
    </row>
    <row r="5" spans="1:7" x14ac:dyDescent="0.25">
      <c r="A5" s="1" t="str">
        <f>Payroll_Run!A6&amp;" "&amp;Payroll_Run!B6</f>
        <v>James Telford</v>
      </c>
      <c r="B5" s="5">
        <f>Payroll_Run!Z6</f>
        <v>5000</v>
      </c>
      <c r="C5" s="5">
        <f>Payroll_Run!AA6</f>
        <v>1750</v>
      </c>
      <c r="D5" s="5">
        <f>Payroll_Run!AB6</f>
        <v>500</v>
      </c>
      <c r="E5" s="5">
        <f>Payroll_Run!AC6</f>
        <v>250</v>
      </c>
      <c r="F5" s="5">
        <f>Payroll_Run!AD6</f>
        <v>0</v>
      </c>
      <c r="G5" s="5">
        <f>Payroll_Run!AE6</f>
        <v>2500</v>
      </c>
    </row>
    <row r="6" spans="1:7" x14ac:dyDescent="0.25">
      <c r="A6" s="1" t="str">
        <f>Payroll_Run!A7&amp;" "&amp;Payroll_Run!B7</f>
        <v>Judy Murray</v>
      </c>
      <c r="B6" s="5">
        <f>Payroll_Run!Z7</f>
        <v>9166.67</v>
      </c>
      <c r="C6" s="5">
        <f>Payroll_Run!AA7</f>
        <v>3208.33</v>
      </c>
      <c r="D6" s="5">
        <f>Payroll_Run!AB7</f>
        <v>916.67</v>
      </c>
      <c r="E6" s="5">
        <f>Payroll_Run!AC7</f>
        <v>458.33</v>
      </c>
      <c r="F6" s="5">
        <f>Payroll_Run!AD7</f>
        <v>0</v>
      </c>
      <c r="G6" s="5">
        <f>Payroll_Run!AE7</f>
        <v>4583.34</v>
      </c>
    </row>
    <row r="7" spans="1:7" x14ac:dyDescent="0.25">
      <c r="A7" s="1" t="str">
        <f>Payroll_Run!A8&amp;" "&amp;Payroll_Run!B8</f>
        <v>Gemma Collins</v>
      </c>
      <c r="B7" s="5">
        <f>Payroll_Run!Z8</f>
        <v>2333.33</v>
      </c>
      <c r="C7" s="5">
        <f>Payroll_Run!AA8</f>
        <v>816.67</v>
      </c>
      <c r="D7" s="5">
        <f>Payroll_Run!AB8</f>
        <v>233.33</v>
      </c>
      <c r="E7" s="5">
        <f>Payroll_Run!AC8</f>
        <v>116.67</v>
      </c>
      <c r="F7" s="5">
        <f>Payroll_Run!AD8</f>
        <v>0</v>
      </c>
      <c r="G7" s="5">
        <f>Payroll_Run!AE8</f>
        <v>1166.6600000000001</v>
      </c>
    </row>
    <row r="8" spans="1:7" x14ac:dyDescent="0.25">
      <c r="A8" s="1" t="str">
        <f>Payroll_Run!A9&amp;" "&amp;Payroll_Run!B9</f>
        <v>Tom Cruze</v>
      </c>
      <c r="B8" s="5">
        <f>Payroll_Run!Z9</f>
        <v>5833.33</v>
      </c>
      <c r="C8" s="5">
        <f>Payroll_Run!AA9</f>
        <v>2041.67</v>
      </c>
      <c r="D8" s="5">
        <f>Payroll_Run!AB9</f>
        <v>583.33000000000004</v>
      </c>
      <c r="E8" s="5">
        <f>Payroll_Run!AC9</f>
        <v>291.67</v>
      </c>
      <c r="F8" s="5">
        <f>Payroll_Run!AD9</f>
        <v>0</v>
      </c>
      <c r="G8" s="5">
        <f>Payroll_Run!AE9</f>
        <v>2916.66</v>
      </c>
    </row>
    <row r="9" spans="1:7" x14ac:dyDescent="0.25">
      <c r="A9" s="1" t="str">
        <f>Payroll_Run!A10&amp;" "&amp;Payroll_Run!B10</f>
        <v>Colin Naylor</v>
      </c>
      <c r="B9" s="5">
        <f>Payroll_Run!Z10</f>
        <v>9666.67</v>
      </c>
      <c r="C9" s="5">
        <f>Payroll_Run!AA10</f>
        <v>3383.33</v>
      </c>
      <c r="D9" s="5">
        <f>Payroll_Run!AB10</f>
        <v>966.67</v>
      </c>
      <c r="E9" s="5">
        <f>Payroll_Run!AC10</f>
        <v>483.33</v>
      </c>
      <c r="F9" s="5">
        <f>Payroll_Run!AD10</f>
        <v>0</v>
      </c>
      <c r="G9" s="5">
        <f>Payroll_Run!AE10</f>
        <v>4833.34</v>
      </c>
    </row>
    <row r="10" spans="1:7" x14ac:dyDescent="0.25">
      <c r="A10" s="1" t="str">
        <f>Payroll_Run!A11&amp;" "&amp;Payroll_Run!B11</f>
        <v>Jenny Holland</v>
      </c>
      <c r="B10" s="5">
        <f>Payroll_Run!Z11</f>
        <v>8333.33</v>
      </c>
      <c r="C10" s="5">
        <f>Payroll_Run!AA11</f>
        <v>2916.67</v>
      </c>
      <c r="D10" s="5">
        <f>Payroll_Run!AB11</f>
        <v>833.33</v>
      </c>
      <c r="E10" s="5">
        <f>Payroll_Run!AC11</f>
        <v>416.67</v>
      </c>
      <c r="F10" s="5">
        <f>Payroll_Run!AD11</f>
        <v>0</v>
      </c>
      <c r="G10" s="5">
        <f>Payroll_Run!AE11</f>
        <v>4166.66</v>
      </c>
    </row>
    <row r="11" spans="1:7" x14ac:dyDescent="0.25">
      <c r="A11" s="1" t="str">
        <f>Payroll_Run!A12&amp;" "&amp;Payroll_Run!B12</f>
        <v>Terry Tucker</v>
      </c>
      <c r="B11" s="5">
        <f>Payroll_Run!Z12</f>
        <v>4166.67</v>
      </c>
      <c r="C11" s="5">
        <f>Payroll_Run!AA12</f>
        <v>1458.33</v>
      </c>
      <c r="D11" s="5">
        <f>Payroll_Run!AB12</f>
        <v>416.67</v>
      </c>
      <c r="E11" s="5">
        <f>Payroll_Run!AC12</f>
        <v>208.33</v>
      </c>
      <c r="F11" s="5">
        <f>Payroll_Run!AD12</f>
        <v>208.33</v>
      </c>
      <c r="G11" s="5">
        <f>Payroll_Run!AE12</f>
        <v>1875.01</v>
      </c>
    </row>
    <row r="12" spans="1:7" x14ac:dyDescent="0.25">
      <c r="A12" s="1" t="str">
        <f>Payroll_Run!A13&amp;" "&amp;Payroll_Run!B13</f>
        <v>Tom Tinker</v>
      </c>
      <c r="B12" s="5">
        <f>Payroll_Run!Z13</f>
        <v>3044.44</v>
      </c>
      <c r="C12" s="5">
        <f>Payroll_Run!AA13</f>
        <v>1065.55</v>
      </c>
      <c r="D12" s="5">
        <f>Payroll_Run!AB13</f>
        <v>304.44</v>
      </c>
      <c r="E12" s="5">
        <f>Payroll_Run!AC13</f>
        <v>152.22</v>
      </c>
      <c r="F12" s="5">
        <f>Payroll_Run!AD13</f>
        <v>0</v>
      </c>
      <c r="G12" s="5">
        <f>Payroll_Run!AE13</f>
        <v>1522.23</v>
      </c>
    </row>
    <row r="16" spans="1:7" x14ac:dyDescent="0.25">
      <c r="A16" s="1" t="s">
        <v>184</v>
      </c>
      <c r="B16" s="5">
        <f>Payroll_Run!Z12</f>
        <v>4166.67</v>
      </c>
      <c r="D16" s="10"/>
      <c r="E16" s="10"/>
      <c r="F16" s="10"/>
    </row>
    <row r="17" spans="1:6" x14ac:dyDescent="0.25">
      <c r="A17" s="1" t="s">
        <v>5</v>
      </c>
      <c r="B17" s="5">
        <f>Payroll_Run!AA12</f>
        <v>1458.33</v>
      </c>
      <c r="D17" s="10"/>
      <c r="E17" s="10"/>
      <c r="F17" s="10"/>
    </row>
    <row r="18" spans="1:6" x14ac:dyDescent="0.25">
      <c r="A18" s="1" t="s">
        <v>8</v>
      </c>
      <c r="B18" s="5">
        <f>Payroll_Run!AB12</f>
        <v>416.67</v>
      </c>
      <c r="D18" s="10"/>
      <c r="E18" s="10"/>
      <c r="F18" s="10"/>
    </row>
    <row r="19" spans="1:6" x14ac:dyDescent="0.25">
      <c r="A19" s="1" t="s">
        <v>11</v>
      </c>
      <c r="B19" s="5">
        <f>Payroll_Run!AC12</f>
        <v>208.33</v>
      </c>
      <c r="D19" s="10"/>
      <c r="E19" s="10"/>
      <c r="F19" s="10"/>
    </row>
    <row r="20" spans="1:6" x14ac:dyDescent="0.25">
      <c r="A20" s="1" t="s">
        <v>14</v>
      </c>
      <c r="B20" s="5">
        <f>Payroll_Run!AD12</f>
        <v>208.33</v>
      </c>
      <c r="D20" s="10"/>
      <c r="E20" s="10"/>
      <c r="F20" s="10"/>
    </row>
    <row r="21" spans="1:6" x14ac:dyDescent="0.25">
      <c r="A21" s="1" t="s">
        <v>185</v>
      </c>
      <c r="B21" s="5">
        <f>Payroll_Run!AE12</f>
        <v>1875.01</v>
      </c>
    </row>
    <row r="22" spans="1:6" x14ac:dyDescent="0.25">
      <c r="A22" s="1"/>
      <c r="B22" s="1"/>
    </row>
    <row r="23" spans="1:6" x14ac:dyDescent="0.25">
      <c r="A23" s="2" t="s">
        <v>186</v>
      </c>
      <c r="B23" s="1"/>
    </row>
    <row r="24" spans="1:6" x14ac:dyDescent="0.25">
      <c r="A24" s="1" t="s">
        <v>184</v>
      </c>
      <c r="B24" s="5">
        <f>Payroll_Run!Z13</f>
        <v>3044.44</v>
      </c>
      <c r="D24" s="10"/>
      <c r="E24" s="10"/>
      <c r="F24" s="10"/>
    </row>
    <row r="25" spans="1:6" x14ac:dyDescent="0.25">
      <c r="A25" s="1" t="s">
        <v>5</v>
      </c>
      <c r="B25" s="5">
        <f>Payroll_Run!AA13</f>
        <v>1065.55</v>
      </c>
      <c r="D25" s="10"/>
      <c r="E25" s="10"/>
      <c r="F25" s="10"/>
    </row>
    <row r="26" spans="1:6" x14ac:dyDescent="0.25">
      <c r="A26" s="1" t="s">
        <v>8</v>
      </c>
      <c r="B26" s="5">
        <f>Payroll_Run!AB13</f>
        <v>304.44</v>
      </c>
      <c r="D26" s="10"/>
      <c r="E26" s="10"/>
      <c r="F26" s="10"/>
    </row>
    <row r="27" spans="1:6" x14ac:dyDescent="0.25">
      <c r="A27" s="1" t="s">
        <v>11</v>
      </c>
      <c r="B27" s="5">
        <f>Payroll_Run!AC13</f>
        <v>152.22</v>
      </c>
      <c r="D27" s="10"/>
      <c r="E27" s="10"/>
      <c r="F27" s="10"/>
    </row>
    <row r="28" spans="1:6" x14ac:dyDescent="0.25">
      <c r="A28" s="1" t="s">
        <v>14</v>
      </c>
      <c r="B28" s="5">
        <f>Payroll_Run!AD13</f>
        <v>0</v>
      </c>
      <c r="D28" s="10"/>
      <c r="E28" s="10"/>
      <c r="F28" s="10"/>
    </row>
    <row r="29" spans="1:6" x14ac:dyDescent="0.25">
      <c r="A29" s="1" t="s">
        <v>185</v>
      </c>
      <c r="B29" s="5">
        <f>Payroll_Run!AE13</f>
        <v>1522.23</v>
      </c>
    </row>
  </sheetData>
  <mergeCells count="10">
    <mergeCell ref="D28:F28"/>
    <mergeCell ref="D27:F27"/>
    <mergeCell ref="D17:F17"/>
    <mergeCell ref="D19:F19"/>
    <mergeCell ref="D16:F16"/>
    <mergeCell ref="D25:F25"/>
    <mergeCell ref="D18:F18"/>
    <mergeCell ref="D24:F24"/>
    <mergeCell ref="D26:F26"/>
    <mergeCell ref="D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2"/>
  <sheetViews>
    <sheetView workbookViewId="0"/>
  </sheetViews>
  <sheetFormatPr defaultRowHeight="15" x14ac:dyDescent="0.25"/>
  <cols>
    <col min="1" max="1" width="12.140625" bestFit="1" customWidth="1"/>
    <col min="2" max="2" width="10.5703125" bestFit="1" customWidth="1"/>
    <col min="4" max="4" width="10.42578125" bestFit="1" customWidth="1"/>
    <col min="5" max="5" width="12.28515625" bestFit="1" customWidth="1"/>
    <col min="8" max="8" width="12.140625" bestFit="1" customWidth="1"/>
    <col min="9" max="9" width="26.7109375" bestFit="1" customWidth="1"/>
    <col min="10" max="10" width="14.42578125" bestFit="1" customWidth="1"/>
    <col min="11" max="11" width="13.85546875" bestFit="1" customWidth="1"/>
    <col min="12" max="12" width="10.140625" bestFit="1" customWidth="1"/>
    <col min="13" max="13" width="43.7109375" bestFit="1" customWidth="1"/>
    <col min="14" max="14" width="13.140625" bestFit="1" customWidth="1"/>
    <col min="15" max="15" width="9" bestFit="1" customWidth="1"/>
    <col min="16" max="16" width="12.28515625" bestFit="1" customWidth="1"/>
    <col min="19" max="19" width="13.7109375" bestFit="1" customWidth="1"/>
    <col min="20" max="21" width="13.42578125" bestFit="1" customWidth="1"/>
    <col min="22" max="22" width="15.42578125" bestFit="1" customWidth="1"/>
  </cols>
  <sheetData>
    <row r="1" spans="1:22" x14ac:dyDescent="0.25">
      <c r="A1" t="s">
        <v>187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22</v>
      </c>
      <c r="T1" t="s">
        <v>42</v>
      </c>
      <c r="U1" t="s">
        <v>43</v>
      </c>
      <c r="V1" t="s">
        <v>44</v>
      </c>
    </row>
    <row r="2" spans="1:22" x14ac:dyDescent="0.25">
      <c r="A2" t="s">
        <v>188</v>
      </c>
      <c r="B2" t="s">
        <v>55</v>
      </c>
      <c r="C2" t="s">
        <v>56</v>
      </c>
      <c r="D2" t="s">
        <v>189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69</v>
      </c>
      <c r="S2" t="s">
        <v>71</v>
      </c>
      <c r="T2" t="s">
        <v>71</v>
      </c>
      <c r="U2" t="s">
        <v>72</v>
      </c>
      <c r="V2">
        <v>85000</v>
      </c>
    </row>
    <row r="3" spans="1:22" x14ac:dyDescent="0.25">
      <c r="A3" t="s">
        <v>190</v>
      </c>
      <c r="B3" t="s">
        <v>74</v>
      </c>
      <c r="C3" t="s">
        <v>75</v>
      </c>
      <c r="D3" t="s">
        <v>191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63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71</v>
      </c>
      <c r="Q3" t="s">
        <v>70</v>
      </c>
      <c r="R3" t="s">
        <v>71</v>
      </c>
      <c r="S3" t="s">
        <v>71</v>
      </c>
      <c r="T3" t="s">
        <v>71</v>
      </c>
      <c r="U3" t="s">
        <v>72</v>
      </c>
      <c r="V3">
        <v>55000</v>
      </c>
    </row>
    <row r="4" spans="1:22" x14ac:dyDescent="0.25">
      <c r="A4" t="s">
        <v>192</v>
      </c>
      <c r="B4" t="s">
        <v>88</v>
      </c>
      <c r="C4" t="s">
        <v>89</v>
      </c>
      <c r="D4" t="s">
        <v>193</v>
      </c>
      <c r="E4" t="s">
        <v>91</v>
      </c>
      <c r="F4" t="s">
        <v>194</v>
      </c>
      <c r="G4" t="s">
        <v>79</v>
      </c>
      <c r="H4" t="s">
        <v>92</v>
      </c>
      <c r="I4" t="s">
        <v>93</v>
      </c>
      <c r="J4" t="s">
        <v>94</v>
      </c>
      <c r="K4" t="s">
        <v>95</v>
      </c>
      <c r="L4" t="s">
        <v>96</v>
      </c>
      <c r="M4" t="s">
        <v>97</v>
      </c>
      <c r="N4" t="s">
        <v>98</v>
      </c>
      <c r="O4" t="s">
        <v>86</v>
      </c>
      <c r="P4" t="s">
        <v>71</v>
      </c>
      <c r="Q4" t="s">
        <v>70</v>
      </c>
      <c r="R4" t="s">
        <v>71</v>
      </c>
      <c r="S4" t="s">
        <v>71</v>
      </c>
      <c r="T4" t="s">
        <v>71</v>
      </c>
      <c r="U4" t="s">
        <v>72</v>
      </c>
      <c r="V4">
        <v>50000</v>
      </c>
    </row>
    <row r="5" spans="1:22" x14ac:dyDescent="0.25">
      <c r="A5" t="s">
        <v>195</v>
      </c>
      <c r="B5" t="s">
        <v>99</v>
      </c>
      <c r="C5" t="s">
        <v>100</v>
      </c>
      <c r="D5" t="s">
        <v>196</v>
      </c>
      <c r="E5" t="s">
        <v>102</v>
      </c>
      <c r="F5" t="s">
        <v>59</v>
      </c>
      <c r="G5" t="s">
        <v>60</v>
      </c>
      <c r="H5" t="s">
        <v>103</v>
      </c>
      <c r="I5" t="s">
        <v>104</v>
      </c>
      <c r="J5" t="s">
        <v>94</v>
      </c>
      <c r="K5" t="s">
        <v>105</v>
      </c>
      <c r="L5" t="s">
        <v>106</v>
      </c>
      <c r="M5" t="s">
        <v>107</v>
      </c>
      <c r="N5" t="s">
        <v>108</v>
      </c>
      <c r="O5" t="s">
        <v>86</v>
      </c>
      <c r="P5" t="s">
        <v>71</v>
      </c>
      <c r="Q5" t="s">
        <v>70</v>
      </c>
      <c r="R5" t="s">
        <v>69</v>
      </c>
      <c r="S5" t="s">
        <v>71</v>
      </c>
      <c r="T5" t="s">
        <v>71</v>
      </c>
      <c r="U5" t="s">
        <v>72</v>
      </c>
      <c r="V5">
        <v>60000</v>
      </c>
    </row>
    <row r="6" spans="1:22" x14ac:dyDescent="0.25">
      <c r="A6" t="s">
        <v>197</v>
      </c>
      <c r="B6" t="s">
        <v>109</v>
      </c>
      <c r="C6" t="s">
        <v>110</v>
      </c>
      <c r="D6" t="s">
        <v>198</v>
      </c>
      <c r="E6" t="s">
        <v>112</v>
      </c>
      <c r="F6" t="s">
        <v>199</v>
      </c>
      <c r="G6" t="s">
        <v>79</v>
      </c>
      <c r="H6" t="s">
        <v>113</v>
      </c>
      <c r="I6" t="s">
        <v>114</v>
      </c>
      <c r="J6" t="s">
        <v>115</v>
      </c>
      <c r="K6" t="s">
        <v>64</v>
      </c>
      <c r="L6" t="s">
        <v>116</v>
      </c>
      <c r="M6" t="s">
        <v>117</v>
      </c>
      <c r="N6" t="s">
        <v>118</v>
      </c>
      <c r="O6" t="s">
        <v>119</v>
      </c>
      <c r="P6" t="s">
        <v>71</v>
      </c>
      <c r="Q6" t="s">
        <v>70</v>
      </c>
      <c r="R6" t="s">
        <v>71</v>
      </c>
      <c r="S6" t="s">
        <v>71</v>
      </c>
      <c r="T6" t="s">
        <v>71</v>
      </c>
      <c r="U6" t="s">
        <v>72</v>
      </c>
      <c r="V6">
        <v>110000</v>
      </c>
    </row>
    <row r="7" spans="1:22" x14ac:dyDescent="0.25">
      <c r="A7" t="s">
        <v>200</v>
      </c>
      <c r="B7" t="s">
        <v>74</v>
      </c>
      <c r="C7" t="s">
        <v>120</v>
      </c>
      <c r="D7" t="s">
        <v>201</v>
      </c>
      <c r="E7" t="s">
        <v>122</v>
      </c>
      <c r="F7" t="s">
        <v>78</v>
      </c>
      <c r="G7" t="s">
        <v>79</v>
      </c>
      <c r="H7" t="s">
        <v>123</v>
      </c>
      <c r="I7" t="s">
        <v>124</v>
      </c>
      <c r="J7" t="s">
        <v>125</v>
      </c>
      <c r="K7" t="s">
        <v>64</v>
      </c>
      <c r="L7" t="s">
        <v>96</v>
      </c>
      <c r="M7" t="s">
        <v>126</v>
      </c>
      <c r="N7" t="s">
        <v>127</v>
      </c>
      <c r="O7" t="s">
        <v>86</v>
      </c>
      <c r="P7" t="s">
        <v>71</v>
      </c>
      <c r="Q7" t="s">
        <v>70</v>
      </c>
      <c r="R7" t="s">
        <v>71</v>
      </c>
      <c r="S7" t="s">
        <v>71</v>
      </c>
      <c r="T7" t="s">
        <v>71</v>
      </c>
      <c r="U7" t="s">
        <v>72</v>
      </c>
      <c r="V7">
        <v>28000</v>
      </c>
    </row>
    <row r="8" spans="1:22" x14ac:dyDescent="0.25">
      <c r="A8" t="s">
        <v>202</v>
      </c>
      <c r="B8" t="s">
        <v>129</v>
      </c>
      <c r="C8" t="s">
        <v>130</v>
      </c>
      <c r="D8" t="s">
        <v>203</v>
      </c>
      <c r="E8" t="s">
        <v>132</v>
      </c>
      <c r="F8" t="s">
        <v>59</v>
      </c>
      <c r="G8" t="s">
        <v>60</v>
      </c>
      <c r="H8" t="s">
        <v>133</v>
      </c>
      <c r="I8" t="s">
        <v>81</v>
      </c>
      <c r="J8" t="s">
        <v>134</v>
      </c>
      <c r="K8" t="s">
        <v>135</v>
      </c>
      <c r="L8" t="s">
        <v>96</v>
      </c>
      <c r="M8" t="s">
        <v>136</v>
      </c>
      <c r="N8" t="s">
        <v>137</v>
      </c>
      <c r="O8" t="s">
        <v>138</v>
      </c>
      <c r="P8" t="s">
        <v>69</v>
      </c>
      <c r="Q8" t="s">
        <v>70</v>
      </c>
      <c r="R8" t="s">
        <v>71</v>
      </c>
      <c r="S8" t="s">
        <v>71</v>
      </c>
      <c r="T8" t="s">
        <v>71</v>
      </c>
      <c r="U8" t="s">
        <v>72</v>
      </c>
      <c r="V8">
        <v>70000</v>
      </c>
    </row>
    <row r="9" spans="1:22" x14ac:dyDescent="0.25">
      <c r="A9" t="s">
        <v>204</v>
      </c>
      <c r="B9" t="s">
        <v>140</v>
      </c>
      <c r="C9" t="s">
        <v>141</v>
      </c>
      <c r="D9" t="s">
        <v>205</v>
      </c>
      <c r="E9" t="s">
        <v>143</v>
      </c>
      <c r="F9" t="s">
        <v>59</v>
      </c>
      <c r="G9" t="s">
        <v>60</v>
      </c>
      <c r="H9" t="s">
        <v>144</v>
      </c>
      <c r="I9" t="s">
        <v>145</v>
      </c>
      <c r="J9" t="s">
        <v>146</v>
      </c>
      <c r="K9" t="s">
        <v>135</v>
      </c>
      <c r="L9" t="s">
        <v>116</v>
      </c>
      <c r="M9" t="s">
        <v>147</v>
      </c>
      <c r="N9" t="s">
        <v>148</v>
      </c>
      <c r="O9" t="s">
        <v>86</v>
      </c>
      <c r="P9" t="s">
        <v>71</v>
      </c>
      <c r="Q9" t="s">
        <v>70</v>
      </c>
      <c r="R9" t="s">
        <v>71</v>
      </c>
      <c r="S9" t="s">
        <v>71</v>
      </c>
      <c r="T9" t="s">
        <v>71</v>
      </c>
      <c r="U9" t="s">
        <v>72</v>
      </c>
      <c r="V9">
        <v>116000</v>
      </c>
    </row>
    <row r="10" spans="1:22" x14ac:dyDescent="0.25">
      <c r="A10" t="s">
        <v>206</v>
      </c>
      <c r="B10" t="s">
        <v>149</v>
      </c>
      <c r="C10" t="s">
        <v>150</v>
      </c>
      <c r="D10" t="s">
        <v>207</v>
      </c>
      <c r="E10" t="s">
        <v>152</v>
      </c>
      <c r="F10" t="s">
        <v>199</v>
      </c>
      <c r="G10" t="s">
        <v>79</v>
      </c>
      <c r="H10" t="s">
        <v>153</v>
      </c>
      <c r="I10" t="s">
        <v>154</v>
      </c>
      <c r="J10" t="s">
        <v>155</v>
      </c>
      <c r="K10" t="s">
        <v>82</v>
      </c>
      <c r="L10" t="s">
        <v>156</v>
      </c>
      <c r="M10" t="s">
        <v>157</v>
      </c>
      <c r="N10" t="s">
        <v>158</v>
      </c>
      <c r="O10" t="s">
        <v>86</v>
      </c>
      <c r="P10" t="s">
        <v>69</v>
      </c>
      <c r="Q10" t="s">
        <v>70</v>
      </c>
      <c r="R10" t="s">
        <v>71</v>
      </c>
      <c r="S10" t="s">
        <v>71</v>
      </c>
      <c r="T10" t="s">
        <v>71</v>
      </c>
      <c r="U10" t="s">
        <v>72</v>
      </c>
      <c r="V10">
        <v>100000</v>
      </c>
    </row>
    <row r="11" spans="1:22" x14ac:dyDescent="0.25">
      <c r="A11" t="s">
        <v>208</v>
      </c>
      <c r="B11" t="s">
        <v>159</v>
      </c>
      <c r="C11" t="s">
        <v>160</v>
      </c>
      <c r="D11" t="s">
        <v>209</v>
      </c>
      <c r="E11" t="s">
        <v>162</v>
      </c>
      <c r="F11" t="s">
        <v>59</v>
      </c>
      <c r="G11" t="s">
        <v>60</v>
      </c>
      <c r="H11" t="s">
        <v>163</v>
      </c>
      <c r="I11" t="s">
        <v>164</v>
      </c>
      <c r="J11" t="s">
        <v>165</v>
      </c>
      <c r="L11" t="s">
        <v>166</v>
      </c>
      <c r="M11" t="s">
        <v>167</v>
      </c>
      <c r="N11" t="s">
        <v>168</v>
      </c>
      <c r="O11" t="s">
        <v>86</v>
      </c>
      <c r="P11" t="s">
        <v>69</v>
      </c>
      <c r="Q11" t="s">
        <v>70</v>
      </c>
      <c r="R11" t="s">
        <v>71</v>
      </c>
      <c r="S11" t="s">
        <v>69</v>
      </c>
      <c r="T11" t="s">
        <v>71</v>
      </c>
      <c r="U11" t="s">
        <v>72</v>
      </c>
      <c r="V11">
        <v>50000</v>
      </c>
    </row>
    <row r="12" spans="1:22" x14ac:dyDescent="0.25">
      <c r="A12" t="s">
        <v>210</v>
      </c>
      <c r="B12" t="s">
        <v>129</v>
      </c>
      <c r="C12" t="s">
        <v>170</v>
      </c>
      <c r="D12" t="s">
        <v>211</v>
      </c>
      <c r="E12" t="s">
        <v>172</v>
      </c>
      <c r="F12" t="s">
        <v>59</v>
      </c>
      <c r="G12" t="s">
        <v>60</v>
      </c>
      <c r="H12" t="s">
        <v>173</v>
      </c>
      <c r="I12" t="s">
        <v>174</v>
      </c>
      <c r="J12" t="s">
        <v>175</v>
      </c>
      <c r="K12" t="s">
        <v>176</v>
      </c>
      <c r="L12" t="s">
        <v>177</v>
      </c>
      <c r="M12" t="s">
        <v>178</v>
      </c>
      <c r="N12" t="s">
        <v>179</v>
      </c>
      <c r="O12" t="s">
        <v>86</v>
      </c>
      <c r="P12" t="s">
        <v>71</v>
      </c>
      <c r="Q12" t="s">
        <v>70</v>
      </c>
      <c r="R12" t="s">
        <v>71</v>
      </c>
      <c r="S12" t="s">
        <v>71</v>
      </c>
      <c r="T12" t="s">
        <v>71</v>
      </c>
      <c r="U12" t="s">
        <v>72</v>
      </c>
      <c r="V12">
        <v>32000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"/>
  <sheetViews>
    <sheetView workbookViewId="0">
      <selection activeCell="C16" sqref="C16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1.7109375" bestFit="1" customWidth="1"/>
    <col min="4" max="4" width="13.85546875" bestFit="1" customWidth="1"/>
    <col min="5" max="5" width="23.140625" bestFit="1" customWidth="1"/>
    <col min="6" max="6" width="19.85546875" bestFit="1" customWidth="1"/>
    <col min="7" max="7" width="12.140625" bestFit="1" customWidth="1"/>
    <col min="8" max="8" width="17.5703125" bestFit="1" customWidth="1"/>
    <col min="9" max="9" width="21.140625" bestFit="1" customWidth="1"/>
    <col min="10" max="10" width="22" bestFit="1" customWidth="1"/>
    <col min="11" max="11" width="18" bestFit="1" customWidth="1"/>
    <col min="12" max="12" width="64.140625" bestFit="1" customWidth="1"/>
  </cols>
  <sheetData>
    <row r="1" spans="1:12" x14ac:dyDescent="0.25">
      <c r="A1" t="s">
        <v>187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</row>
    <row r="2" spans="1:12" x14ac:dyDescent="0.25">
      <c r="A2" t="s">
        <v>208</v>
      </c>
      <c r="B2" t="s">
        <v>223</v>
      </c>
      <c r="C2" t="s">
        <v>224</v>
      </c>
      <c r="D2" t="s">
        <v>69</v>
      </c>
      <c r="E2" t="s">
        <v>225</v>
      </c>
      <c r="F2">
        <v>18450</v>
      </c>
      <c r="G2">
        <v>2214</v>
      </c>
      <c r="H2" t="s">
        <v>86</v>
      </c>
      <c r="I2" t="s">
        <v>69</v>
      </c>
      <c r="J2" t="s">
        <v>71</v>
      </c>
      <c r="K2" t="s">
        <v>226</v>
      </c>
      <c r="L2" t="s">
        <v>227</v>
      </c>
    </row>
    <row r="3" spans="1:12" x14ac:dyDescent="0.25">
      <c r="A3" t="s">
        <v>210</v>
      </c>
      <c r="B3" t="s">
        <v>228</v>
      </c>
      <c r="C3" t="s">
        <v>224</v>
      </c>
      <c r="D3" t="s">
        <v>69</v>
      </c>
      <c r="E3" t="s">
        <v>229</v>
      </c>
      <c r="F3">
        <v>9620</v>
      </c>
      <c r="G3">
        <v>748</v>
      </c>
      <c r="H3" t="s">
        <v>86</v>
      </c>
      <c r="I3" t="s">
        <v>71</v>
      </c>
      <c r="J3" t="s">
        <v>71</v>
      </c>
      <c r="K3" t="s">
        <v>226</v>
      </c>
      <c r="L3" t="s">
        <v>230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>
      <selection activeCell="H1" sqref="H1"/>
    </sheetView>
  </sheetViews>
  <sheetFormatPr defaultRowHeight="15" x14ac:dyDescent="0.25"/>
  <cols>
    <col min="1" max="1" width="13.5703125" bestFit="1" customWidth="1"/>
    <col min="2" max="2" width="12.140625" bestFit="1" customWidth="1"/>
    <col min="3" max="3" width="16.5703125" bestFit="1" customWidth="1"/>
    <col min="4" max="4" width="35.5703125" bestFit="1" customWidth="1"/>
    <col min="5" max="5" width="12.5703125" bestFit="1" customWidth="1"/>
    <col min="6" max="6" width="11.7109375" bestFit="1" customWidth="1"/>
    <col min="7" max="7" width="15.28515625" bestFit="1" customWidth="1"/>
    <col min="8" max="8" width="18.5703125" bestFit="1" customWidth="1"/>
    <col min="9" max="9" width="18.85546875" bestFit="1" customWidth="1"/>
    <col min="10" max="10" width="16.28515625" bestFit="1" customWidth="1"/>
    <col min="11" max="11" width="56.140625" bestFit="1" customWidth="1"/>
  </cols>
  <sheetData>
    <row r="1" spans="1:11" x14ac:dyDescent="0.25">
      <c r="A1" t="s">
        <v>231</v>
      </c>
      <c r="B1" t="s">
        <v>187</v>
      </c>
      <c r="C1" t="s">
        <v>212</v>
      </c>
      <c r="D1" t="s">
        <v>232</v>
      </c>
      <c r="E1" t="s">
        <v>233</v>
      </c>
      <c r="F1" t="s">
        <v>234</v>
      </c>
      <c r="G1" t="s">
        <v>47</v>
      </c>
      <c r="H1" t="s">
        <v>45</v>
      </c>
      <c r="I1" t="s">
        <v>235</v>
      </c>
      <c r="J1" t="s">
        <v>21</v>
      </c>
      <c r="K1" t="s">
        <v>236</v>
      </c>
    </row>
    <row r="2" spans="1:11" x14ac:dyDescent="0.25">
      <c r="A2" t="s">
        <v>237</v>
      </c>
      <c r="B2" t="s">
        <v>188</v>
      </c>
      <c r="C2" t="s">
        <v>238</v>
      </c>
      <c r="D2" t="s">
        <v>239</v>
      </c>
      <c r="E2">
        <v>30</v>
      </c>
      <c r="F2">
        <v>30</v>
      </c>
      <c r="G2">
        <v>1</v>
      </c>
      <c r="H2">
        <v>7083.33</v>
      </c>
      <c r="I2">
        <v>0</v>
      </c>
      <c r="J2">
        <v>7083.33</v>
      </c>
      <c r="K2" t="s">
        <v>240</v>
      </c>
    </row>
    <row r="3" spans="1:11" x14ac:dyDescent="0.25">
      <c r="A3" t="s">
        <v>237</v>
      </c>
      <c r="B3" t="s">
        <v>190</v>
      </c>
      <c r="C3" t="s">
        <v>241</v>
      </c>
      <c r="D3" t="s">
        <v>239</v>
      </c>
      <c r="E3">
        <v>30</v>
      </c>
      <c r="F3">
        <v>30</v>
      </c>
      <c r="G3">
        <v>1</v>
      </c>
      <c r="H3">
        <v>4583.33</v>
      </c>
      <c r="I3">
        <v>0</v>
      </c>
      <c r="J3">
        <v>4583.33</v>
      </c>
      <c r="K3" t="s">
        <v>240</v>
      </c>
    </row>
    <row r="4" spans="1:11" x14ac:dyDescent="0.25">
      <c r="A4" t="s">
        <v>237</v>
      </c>
      <c r="B4" t="s">
        <v>192</v>
      </c>
      <c r="C4" t="s">
        <v>242</v>
      </c>
      <c r="D4" t="s">
        <v>239</v>
      </c>
      <c r="E4">
        <v>30</v>
      </c>
      <c r="F4">
        <v>30</v>
      </c>
      <c r="G4">
        <v>1</v>
      </c>
      <c r="H4">
        <v>4166.67</v>
      </c>
      <c r="I4">
        <v>0</v>
      </c>
      <c r="J4">
        <v>4166.67</v>
      </c>
      <c r="K4" t="s">
        <v>240</v>
      </c>
    </row>
    <row r="5" spans="1:11" x14ac:dyDescent="0.25">
      <c r="A5" t="s">
        <v>237</v>
      </c>
      <c r="B5" t="s">
        <v>195</v>
      </c>
      <c r="C5" t="s">
        <v>243</v>
      </c>
      <c r="D5" t="s">
        <v>239</v>
      </c>
      <c r="E5">
        <v>30</v>
      </c>
      <c r="F5">
        <v>30</v>
      </c>
      <c r="G5">
        <v>1</v>
      </c>
      <c r="H5">
        <v>5000</v>
      </c>
      <c r="I5">
        <v>0</v>
      </c>
      <c r="J5">
        <v>5000</v>
      </c>
      <c r="K5" t="s">
        <v>240</v>
      </c>
    </row>
    <row r="6" spans="1:11" x14ac:dyDescent="0.25">
      <c r="A6" t="s">
        <v>237</v>
      </c>
      <c r="B6" t="s">
        <v>197</v>
      </c>
      <c r="C6" t="s">
        <v>244</v>
      </c>
      <c r="D6" t="s">
        <v>239</v>
      </c>
      <c r="E6">
        <v>30</v>
      </c>
      <c r="F6">
        <v>30</v>
      </c>
      <c r="G6">
        <v>1</v>
      </c>
      <c r="H6">
        <v>9166.67</v>
      </c>
      <c r="I6">
        <v>0</v>
      </c>
      <c r="J6">
        <v>9166.67</v>
      </c>
      <c r="K6" t="s">
        <v>240</v>
      </c>
    </row>
    <row r="7" spans="1:11" x14ac:dyDescent="0.25">
      <c r="A7" t="s">
        <v>237</v>
      </c>
      <c r="B7" t="s">
        <v>200</v>
      </c>
      <c r="C7" t="s">
        <v>245</v>
      </c>
      <c r="D7" t="s">
        <v>239</v>
      </c>
      <c r="E7">
        <v>30</v>
      </c>
      <c r="F7">
        <v>30</v>
      </c>
      <c r="G7">
        <v>1</v>
      </c>
      <c r="H7">
        <v>2333.33</v>
      </c>
      <c r="I7">
        <v>0</v>
      </c>
      <c r="J7">
        <v>2333.33</v>
      </c>
      <c r="K7" t="s">
        <v>240</v>
      </c>
    </row>
    <row r="8" spans="1:11" x14ac:dyDescent="0.25">
      <c r="A8" t="s">
        <v>237</v>
      </c>
      <c r="B8" t="s">
        <v>202</v>
      </c>
      <c r="C8" t="s">
        <v>246</v>
      </c>
      <c r="D8" t="s">
        <v>239</v>
      </c>
      <c r="E8">
        <v>30</v>
      </c>
      <c r="F8">
        <v>30</v>
      </c>
      <c r="G8">
        <v>1</v>
      </c>
      <c r="H8">
        <v>5833.33</v>
      </c>
      <c r="I8">
        <v>0</v>
      </c>
      <c r="J8">
        <v>5833.33</v>
      </c>
      <c r="K8" t="s">
        <v>240</v>
      </c>
    </row>
    <row r="9" spans="1:11" x14ac:dyDescent="0.25">
      <c r="A9" t="s">
        <v>237</v>
      </c>
      <c r="B9" t="s">
        <v>204</v>
      </c>
      <c r="C9" t="s">
        <v>247</v>
      </c>
      <c r="D9" t="s">
        <v>239</v>
      </c>
      <c r="E9">
        <v>30</v>
      </c>
      <c r="F9">
        <v>30</v>
      </c>
      <c r="G9">
        <v>1</v>
      </c>
      <c r="H9">
        <v>9666.67</v>
      </c>
      <c r="I9">
        <v>0</v>
      </c>
      <c r="J9">
        <v>9666.67</v>
      </c>
      <c r="K9" t="s">
        <v>240</v>
      </c>
    </row>
    <row r="10" spans="1:11" x14ac:dyDescent="0.25">
      <c r="A10" t="s">
        <v>237</v>
      </c>
      <c r="B10" t="s">
        <v>206</v>
      </c>
      <c r="C10" t="s">
        <v>248</v>
      </c>
      <c r="D10" t="s">
        <v>239</v>
      </c>
      <c r="E10">
        <v>30</v>
      </c>
      <c r="F10">
        <v>30</v>
      </c>
      <c r="G10">
        <v>1</v>
      </c>
      <c r="H10">
        <v>8333.33</v>
      </c>
      <c r="I10">
        <v>0</v>
      </c>
      <c r="J10">
        <v>8333.33</v>
      </c>
      <c r="K10" t="s">
        <v>240</v>
      </c>
    </row>
    <row r="11" spans="1:11" x14ac:dyDescent="0.25">
      <c r="A11" t="s">
        <v>237</v>
      </c>
      <c r="B11" t="s">
        <v>208</v>
      </c>
      <c r="C11" t="s">
        <v>223</v>
      </c>
      <c r="D11" t="s">
        <v>249</v>
      </c>
      <c r="E11">
        <v>30</v>
      </c>
      <c r="F11">
        <v>30</v>
      </c>
      <c r="G11">
        <v>1</v>
      </c>
      <c r="H11">
        <v>4166.67</v>
      </c>
      <c r="I11">
        <v>0</v>
      </c>
      <c r="J11">
        <v>4166.67</v>
      </c>
      <c r="K11" t="s">
        <v>250</v>
      </c>
    </row>
    <row r="12" spans="1:11" x14ac:dyDescent="0.25">
      <c r="A12" t="s">
        <v>237</v>
      </c>
      <c r="B12" t="s">
        <v>210</v>
      </c>
      <c r="C12" t="s">
        <v>228</v>
      </c>
      <c r="D12" t="s">
        <v>251</v>
      </c>
      <c r="E12">
        <v>23</v>
      </c>
      <c r="F12">
        <v>30</v>
      </c>
      <c r="G12">
        <v>0.76666666670000005</v>
      </c>
      <c r="H12">
        <v>2666.67</v>
      </c>
      <c r="I12">
        <v>1000</v>
      </c>
      <c r="J12">
        <v>3044.44</v>
      </c>
      <c r="K1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C14" sqref="C14"/>
    </sheetView>
  </sheetViews>
  <sheetFormatPr defaultRowHeight="15" x14ac:dyDescent="0.25"/>
  <cols>
    <col min="1" max="1" width="22" bestFit="1" customWidth="1"/>
    <col min="2" max="2" width="24.85546875" bestFit="1" customWidth="1"/>
    <col min="3" max="3" width="50.7109375" bestFit="1" customWidth="1"/>
  </cols>
  <sheetData>
    <row r="1" spans="1:3" x14ac:dyDescent="0.25">
      <c r="A1" t="s">
        <v>253</v>
      </c>
      <c r="B1" t="s">
        <v>254</v>
      </c>
      <c r="C1" t="s">
        <v>255</v>
      </c>
    </row>
    <row r="2" spans="1:3" x14ac:dyDescent="0.25">
      <c r="A2" t="s">
        <v>256</v>
      </c>
      <c r="B2" s="11" t="s">
        <v>237</v>
      </c>
      <c r="C2" t="s">
        <v>257</v>
      </c>
    </row>
    <row r="3" spans="1:3" x14ac:dyDescent="0.25">
      <c r="A3" t="s">
        <v>1</v>
      </c>
      <c r="B3" s="11">
        <v>30</v>
      </c>
      <c r="C3" t="s">
        <v>258</v>
      </c>
    </row>
    <row r="4" spans="1:3" x14ac:dyDescent="0.25">
      <c r="A4" t="s">
        <v>4</v>
      </c>
      <c r="B4" s="11">
        <v>0.35</v>
      </c>
      <c r="C4" t="s">
        <v>259</v>
      </c>
    </row>
    <row r="5" spans="1:3" x14ac:dyDescent="0.25">
      <c r="A5" t="s">
        <v>7</v>
      </c>
      <c r="B5" s="11">
        <v>0.1</v>
      </c>
      <c r="C5" t="s">
        <v>259</v>
      </c>
    </row>
    <row r="6" spans="1:3" x14ac:dyDescent="0.25">
      <c r="A6" t="s">
        <v>10</v>
      </c>
      <c r="B6" s="11">
        <v>0.05</v>
      </c>
      <c r="C6" t="s">
        <v>260</v>
      </c>
    </row>
    <row r="7" spans="1:3" x14ac:dyDescent="0.25">
      <c r="A7" t="s">
        <v>13</v>
      </c>
      <c r="B7" s="11">
        <v>0.05</v>
      </c>
      <c r="C7" t="s">
        <v>261</v>
      </c>
    </row>
    <row r="8" spans="1:3" x14ac:dyDescent="0.25">
      <c r="A8" t="s">
        <v>262</v>
      </c>
      <c r="B8" s="11" t="s">
        <v>263</v>
      </c>
      <c r="C8" t="s">
        <v>264</v>
      </c>
    </row>
    <row r="9" spans="1:3" x14ac:dyDescent="0.25">
      <c r="A9" t="s">
        <v>265</v>
      </c>
      <c r="B9" s="11" t="s">
        <v>266</v>
      </c>
      <c r="C9" t="s">
        <v>267</v>
      </c>
    </row>
    <row r="10" spans="1:3" x14ac:dyDescent="0.25">
      <c r="A10" t="s">
        <v>268</v>
      </c>
      <c r="B10" s="11" t="s">
        <v>72</v>
      </c>
      <c r="C10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Payroll_Run</vt:lpstr>
      <vt:lpstr>Outputs</vt:lpstr>
      <vt:lpstr>Employee_Master_Data</vt:lpstr>
      <vt:lpstr>Starter_P45_Data</vt:lpstr>
      <vt:lpstr>Monthly_Changes_Data</vt:lpstr>
      <vt:lpstr>Payroll_Assumptions_Data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 Duong</cp:lastModifiedBy>
  <dcterms:created xsi:type="dcterms:W3CDTF">2026-04-17T22:16:58Z</dcterms:created>
  <dcterms:modified xsi:type="dcterms:W3CDTF">2026-04-17T22:16:58Z</dcterms:modified>
</cp:coreProperties>
</file>